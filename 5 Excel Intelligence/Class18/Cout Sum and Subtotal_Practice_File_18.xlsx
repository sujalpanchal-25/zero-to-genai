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DA5A31-21D5-415E-8999-720766695DE3}" xr6:coauthVersionLast="36" xr6:coauthVersionMax="47" xr10:uidLastSave="{00000000-0000-0000-0000-000000000000}"/>
  <bookViews>
    <workbookView xWindow="0" yWindow="0" windowWidth="23040" windowHeight="9648" xr2:uid="{E39B28A0-9412-4544-BE2B-7A0C17A1740F}"/>
  </bookViews>
  <sheets>
    <sheet name="Sheet1" sheetId="1" r:id="rId1"/>
  </sheets>
  <definedNames>
    <definedName name="_xlnm._FilterDatabase" localSheetId="0" hidden="1">Sheet1!$A$1:$F$11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" l="1"/>
  <c r="J16" i="1"/>
  <c r="J15" i="1"/>
  <c r="J14" i="1"/>
  <c r="J10" i="1"/>
  <c r="J9" i="1"/>
  <c r="J7" i="1"/>
  <c r="J6" i="1"/>
  <c r="J5" i="1"/>
</calcChain>
</file>

<file path=xl/sharedStrings.xml><?xml version="1.0" encoding="utf-8"?>
<sst xmlns="http://schemas.openxmlformats.org/spreadsheetml/2006/main" count="47" uniqueCount="30">
  <si>
    <t>OrderID</t>
  </si>
  <si>
    <t>Product</t>
  </si>
  <si>
    <t>Region</t>
  </si>
  <si>
    <t>Sales</t>
  </si>
  <si>
    <t>Quantity</t>
  </si>
  <si>
    <t>SalesRep</t>
  </si>
  <si>
    <t>Laptop</t>
  </si>
  <si>
    <t>North</t>
  </si>
  <si>
    <t>Raj</t>
  </si>
  <si>
    <t>Mouse</t>
  </si>
  <si>
    <t>East</t>
  </si>
  <si>
    <t>Meena</t>
  </si>
  <si>
    <t>Keyboard</t>
  </si>
  <si>
    <t>South</t>
  </si>
  <si>
    <t>Aditi</t>
  </si>
  <si>
    <t>Monitor</t>
  </si>
  <si>
    <t>West</t>
  </si>
  <si>
    <t>Karan</t>
  </si>
  <si>
    <t>Sonia</t>
  </si>
  <si>
    <t>Counts Types</t>
  </si>
  <si>
    <t>Count</t>
  </si>
  <si>
    <t>Count a</t>
  </si>
  <si>
    <t>Count Blank</t>
  </si>
  <si>
    <t>Countif</t>
  </si>
  <si>
    <t>Countifs</t>
  </si>
  <si>
    <t>SUM Types</t>
  </si>
  <si>
    <t xml:space="preserve">SUM </t>
  </si>
  <si>
    <t>Sumif</t>
  </si>
  <si>
    <t>Sumifs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</si>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</sst>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335B-C91B-45B4-9F51-049F60B7F2E6}">
  <dimension ref="A1:K19"/>
  <sheetViews>
    <sheetView tabSelected="1" workbookViewId="0">
      <selection activeCell="D20" sqref="D20"/>
    </sheetView>
  </sheetViews>
  <sheetFormatPr defaultRowHeight="20.399999999999999"/>
  <cols>
    <col min="1" max="8" width="9.06640625" style="2"/>
    <col min="9" max="9" width="10.6640625" style="2" bestFit="1" customWidth="1"/>
    <col min="10" max="16384" width="9.06640625" style="2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3">
        <v>1001</v>
      </c>
      <c r="B2" s="3" t="s">
        <v>6</v>
      </c>
      <c r="C2" s="3" t="s">
        <v>7</v>
      </c>
      <c r="D2" s="4">
        <v>55000</v>
      </c>
      <c r="E2" s="3">
        <v>5</v>
      </c>
      <c r="F2" s="3" t="s">
        <v>8</v>
      </c>
    </row>
    <row r="3" spans="1:11">
      <c r="A3" s="3">
        <v>1002</v>
      </c>
      <c r="B3" s="3" t="s">
        <v>9</v>
      </c>
      <c r="C3" s="3" t="s">
        <v>10</v>
      </c>
      <c r="D3" s="4">
        <v>3000</v>
      </c>
      <c r="E3" s="3">
        <v>15</v>
      </c>
      <c r="F3" s="3" t="s">
        <v>11</v>
      </c>
      <c r="I3" s="5" t="s">
        <v>19</v>
      </c>
      <c r="J3" s="5"/>
      <c r="K3" s="5"/>
    </row>
    <row r="4" spans="1:11">
      <c r="A4" s="3">
        <v>1003</v>
      </c>
      <c r="B4" s="3" t="s">
        <v>12</v>
      </c>
      <c r="C4" s="3" t="s">
        <v>7</v>
      </c>
      <c r="D4" s="4">
        <v>7500</v>
      </c>
      <c r="E4" s="3">
        <v>10</v>
      </c>
      <c r="F4" s="3" t="s">
        <v>8</v>
      </c>
    </row>
    <row r="5" spans="1:11">
      <c r="A5" s="3">
        <v>1004</v>
      </c>
      <c r="B5" s="3" t="s">
        <v>6</v>
      </c>
      <c r="C5" s="3" t="s">
        <v>13</v>
      </c>
      <c r="D5" s="4">
        <v>60000</v>
      </c>
      <c r="E5" s="3">
        <v>6</v>
      </c>
      <c r="F5" s="3" t="s">
        <v>14</v>
      </c>
      <c r="I5" s="2" t="s">
        <v>20</v>
      </c>
      <c r="J5" s="2">
        <f>COUNT(D2:D11)</f>
        <v>9</v>
      </c>
    </row>
    <row r="6" spans="1:11">
      <c r="A6" s="3">
        <v>1005</v>
      </c>
      <c r="B6" s="3" t="s">
        <v>15</v>
      </c>
      <c r="C6" s="3" t="s">
        <v>10</v>
      </c>
      <c r="D6" s="4">
        <v>25000</v>
      </c>
      <c r="E6" s="3">
        <v>4</v>
      </c>
      <c r="F6" s="3" t="s">
        <v>11</v>
      </c>
      <c r="I6" s="2" t="s">
        <v>21</v>
      </c>
      <c r="J6" s="2">
        <f>COUNTA(F2:F11)</f>
        <v>10</v>
      </c>
    </row>
    <row r="7" spans="1:11">
      <c r="A7" s="3">
        <v>1006</v>
      </c>
      <c r="B7" s="3" t="s">
        <v>6</v>
      </c>
      <c r="C7" s="3" t="s">
        <v>16</v>
      </c>
      <c r="D7" s="4">
        <v>58000</v>
      </c>
      <c r="E7" s="3">
        <v>5</v>
      </c>
      <c r="F7" s="3" t="s">
        <v>17</v>
      </c>
      <c r="I7" s="2" t="s">
        <v>22</v>
      </c>
      <c r="J7" s="2">
        <f>COUNTBLANK(D2:D11)</f>
        <v>1</v>
      </c>
    </row>
    <row r="8" spans="1:11">
      <c r="A8" s="3">
        <v>1007</v>
      </c>
      <c r="B8" s="3" t="s">
        <v>9</v>
      </c>
      <c r="C8" s="3" t="s">
        <v>7</v>
      </c>
      <c r="D8" s="4">
        <v>2800</v>
      </c>
      <c r="E8" s="3">
        <v>12</v>
      </c>
      <c r="F8" s="3" t="s">
        <v>8</v>
      </c>
    </row>
    <row r="9" spans="1:11">
      <c r="A9" s="3">
        <v>1008</v>
      </c>
      <c r="B9" s="3" t="s">
        <v>15</v>
      </c>
      <c r="C9" s="3" t="s">
        <v>13</v>
      </c>
      <c r="D9" s="4"/>
      <c r="E9" s="3">
        <v>5</v>
      </c>
      <c r="F9" s="3" t="s">
        <v>14</v>
      </c>
      <c r="I9" s="2" t="s">
        <v>23</v>
      </c>
      <c r="J9" s="2">
        <f>COUNTIF(B2:B11,"Laptop")</f>
        <v>4</v>
      </c>
    </row>
    <row r="10" spans="1:11">
      <c r="A10" s="3">
        <v>1009</v>
      </c>
      <c r="B10" s="3" t="s">
        <v>6</v>
      </c>
      <c r="C10" s="3" t="s">
        <v>10</v>
      </c>
      <c r="D10" s="4">
        <v>57000</v>
      </c>
      <c r="E10" s="3">
        <v>4</v>
      </c>
      <c r="F10" s="3" t="s">
        <v>17</v>
      </c>
      <c r="I10" s="2" t="s">
        <v>24</v>
      </c>
      <c r="J10" s="2">
        <f>COUNTIFS(B2:B11,"Laptop",F2:F11,"Karan",C2:C11,"East")</f>
        <v>1</v>
      </c>
    </row>
    <row r="11" spans="1:11">
      <c r="A11" s="3">
        <v>1010</v>
      </c>
      <c r="B11" s="3" t="s">
        <v>9</v>
      </c>
      <c r="C11" s="3" t="s">
        <v>16</v>
      </c>
      <c r="D11" s="4">
        <v>3200</v>
      </c>
      <c r="E11" s="3">
        <v>14</v>
      </c>
      <c r="F11" s="3" t="s">
        <v>18</v>
      </c>
    </row>
    <row r="13" spans="1:11" ht="21">
      <c r="I13" s="6" t="s">
        <v>25</v>
      </c>
      <c r="J13" s="6"/>
      <c r="K13" s="6"/>
    </row>
    <row r="14" spans="1:11">
      <c r="I14" s="2" t="s">
        <v>26</v>
      </c>
      <c r="J14" s="7">
        <f>SUM(D2:D11)</f>
        <v>271500</v>
      </c>
    </row>
    <row r="15" spans="1:11">
      <c r="I15" s="2" t="s">
        <v>27</v>
      </c>
      <c r="J15" s="2">
        <f>SUMIF(B2:B11,"Mouse",D2:D11)</f>
        <v>9000</v>
      </c>
    </row>
    <row r="16" spans="1:11">
      <c r="I16" s="2" t="s">
        <v>28</v>
      </c>
      <c r="J16" s="2">
        <f>SUMIFS(D2:D11,E2:E11,"&gt;4",C2:C11,"North")</f>
        <v>65300</v>
      </c>
    </row>
    <row r="19" spans="9:10">
      <c r="I19" s="2" t="s">
        <v>29</v>
      </c>
      <c r="J19" s="2">
        <f>SUBTOTAL(9,D2:D11)</f>
        <v>271500</v>
      </c>
    </row>
  </sheetData>
  <autoFilter ref="A1:F11" xr:uid="{FCC5323E-ACFA-4450-B607-3262055C47A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2025-09-29T08:39:57Z</dcterms:created>
  <dcterms:modified xsi:type="dcterms:W3CDTF">2026-08-08T09:38:54Z</dcterms:modified>
</cp:coreProperties>
</file>