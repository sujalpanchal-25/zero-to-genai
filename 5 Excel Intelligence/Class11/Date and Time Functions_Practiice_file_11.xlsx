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5 Excel Intelligence\Class11\"/>
    </mc:Choice>
  </mc:AlternateContent>
  <xr:revisionPtr revIDLastSave="0" documentId="13_ncr:1_{11655419-8F46-4626-BE47-9C8FF6A561F1}" xr6:coauthVersionLast="36" xr6:coauthVersionMax="47" xr10:uidLastSave="{00000000-0000-0000-0000-000000000000}"/>
  <bookViews>
    <workbookView xWindow="0" yWindow="0" windowWidth="23040" windowHeight="9648" xr2:uid="{83374882-0478-4D90-A783-7BD1D4D12D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2" i="1"/>
  <c r="M3" i="1"/>
  <c r="M4" i="1"/>
  <c r="M5" i="1"/>
  <c r="M6" i="1"/>
  <c r="M2" i="1"/>
  <c r="L3" i="1"/>
  <c r="L4" i="1"/>
  <c r="L5" i="1"/>
  <c r="L6" i="1"/>
  <c r="L2" i="1"/>
  <c r="K3" i="1"/>
  <c r="K4" i="1"/>
  <c r="K5" i="1"/>
  <c r="K6" i="1"/>
  <c r="K2" i="1"/>
  <c r="J3" i="1"/>
  <c r="J4" i="1"/>
  <c r="J5" i="1"/>
  <c r="J6" i="1"/>
  <c r="J2" i="1"/>
  <c r="I3" i="1"/>
  <c r="I4" i="1"/>
  <c r="I5" i="1"/>
  <c r="I6" i="1"/>
  <c r="I2" i="1"/>
  <c r="H3" i="1"/>
  <c r="H4" i="1"/>
  <c r="H5" i="1"/>
  <c r="H6" i="1"/>
  <c r="H2" i="1"/>
  <c r="G3" i="1"/>
  <c r="G4" i="1"/>
  <c r="G5" i="1"/>
  <c r="G6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<sst xmlns="http://schemas.openxmlformats.org/spreadsheetml/2006/main" count="19" uniqueCount="19">
  <si>
    <t>ID</t>
  </si>
  <si>
    <t>Name</t>
  </si>
  <si>
    <t>Join Date</t>
  </si>
  <si>
    <t>End Date</t>
  </si>
  <si>
    <t>DOB</t>
  </si>
  <si>
    <t>Aditi</t>
  </si>
  <si>
    <t>Raj</t>
  </si>
  <si>
    <t>Meena</t>
  </si>
  <si>
    <t>Karan</t>
  </si>
  <si>
    <t>Sonia</t>
  </si>
  <si>
    <t>Day</t>
  </si>
  <si>
    <t>Month</t>
  </si>
  <si>
    <t>Year</t>
  </si>
  <si>
    <t>Week Number</t>
  </si>
  <si>
    <t>Today</t>
  </si>
  <si>
    <t>Now</t>
  </si>
  <si>
    <t>Year in Company</t>
  </si>
  <si>
    <t>Net Working Day</t>
  </si>
  <si>
    <t>EoMonth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</si>
</sst>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6"/>
      <color theme="1"/>
      <name val="Aptos Narrow"/>
      <family val="2"/>
      <scheme val="minor"/>
    </font>
    <font>
      <sz val="16"/>
      <color theme="1"/>
      <name val="Aptos Narrow"/>
      <scheme val="minor"/>
    </font>
    <font>
      <b/>
      <sz val="16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14" fontId="0" fillId="0" borderId="0" xfId="0" applyNumberFormat="1"/>
    <xf numFmtId="22" fontId="0" fillId="0" borderId="0" xfId="0" applyNumberFormat="1"/>
    <xf numFmtId="14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6E3EA-7351-4141-8EB0-580957AAF064}">
  <dimension ref="A1:N6"/>
  <sheetViews>
    <sheetView tabSelected="1" topLeftCell="G1" workbookViewId="0">
      <selection activeCell="N2" sqref="N2:N6"/>
    </sheetView>
  </sheetViews>
  <sheetFormatPr defaultRowHeight="20.399999999999999"/>
  <cols>
    <col min="1" max="1" width="3.73046875" style="1" bestFit="1" customWidth="1"/>
    <col min="2" max="2" width="6.265625" style="1" bestFit="1" customWidth="1"/>
    <col min="3" max="4" width="9.19921875" style="1" bestFit="1" customWidth="1"/>
    <col min="5" max="5" width="9.3984375" style="1" bestFit="1" customWidth="1"/>
    <col min="9" max="9" width="13.06640625" bestFit="1" customWidth="1"/>
    <col min="10" max="10" width="9.9296875" bestFit="1" customWidth="1"/>
    <col min="11" max="11" width="15.46484375" customWidth="1"/>
    <col min="12" max="12" width="15.9296875" bestFit="1" customWidth="1"/>
    <col min="13" max="13" width="15.46484375" bestFit="1" customWidth="1"/>
    <col min="14" max="14" width="9.9296875" style="5" bestFit="1" customWidth="1"/>
  </cols>
  <sheetData>
    <row r="1" spans="1:14" s="4" customFormat="1" ht="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7" t="s">
        <v>18</v>
      </c>
    </row>
    <row r="2" spans="1:14">
      <c r="A2" s="1">
        <v>101</v>
      </c>
      <c r="B2" s="1" t="s">
        <v>5</v>
      </c>
      <c r="C2" s="2">
        <v>44562</v>
      </c>
      <c r="D2" s="2">
        <v>45657</v>
      </c>
      <c r="E2" s="2">
        <v>36022</v>
      </c>
      <c r="F2">
        <f>DAY(C2)</f>
        <v>1</v>
      </c>
      <c r="G2">
        <f>MONTH(C2)</f>
        <v>1</v>
      </c>
      <c r="H2">
        <f>YEAR(C2)</f>
        <v>2022</v>
      </c>
      <c r="I2">
        <f>WEEKNUM(C2,1)</f>
        <v>1</v>
      </c>
      <c r="J2" s="5">
        <f ca="1">TODAY()</f>
        <v>46240</v>
      </c>
      <c r="K2" s="6">
        <f ca="1">NOW()</f>
        <v>46240.680200000003</v>
      </c>
      <c r="L2">
        <f>DATEDIF(C2,D2,"Y")</f>
        <v>2</v>
      </c>
      <c r="M2">
        <f>NETWORKDAYS(C2,D2)</f>
        <v>782</v>
      </c>
      <c r="N2" s="5">
        <f>EOMONTH(C2,0)</f>
        <v>44592</v>
      </c>
    </row>
    <row r="3" spans="1:14">
      <c r="A3" s="1">
        <v>102</v>
      </c>
      <c r="B3" s="1" t="s">
        <v>6</v>
      </c>
      <c r="C3" s="2">
        <v>44270</v>
      </c>
      <c r="D3" s="2">
        <v>45731</v>
      </c>
      <c r="E3" s="2">
        <v>33166</v>
      </c>
      <c r="F3">
        <f t="shared" ref="F3:F6" si="0">DAY(C3)</f>
        <v>15</v>
      </c>
      <c r="G3">
        <f t="shared" ref="G3:G7" si="1">MONTH(C3)</f>
        <v>3</v>
      </c>
      <c r="H3">
        <f t="shared" ref="H3:H6" si="2">YEAR(C3)</f>
        <v>2021</v>
      </c>
      <c r="I3">
        <f t="shared" ref="I3:I6" si="3">WEEKNUM(C3,1)</f>
        <v>12</v>
      </c>
      <c r="J3" s="5">
        <f t="shared" ref="J3:J6" ca="1" si="4">TODAY()</f>
        <v>46240</v>
      </c>
      <c r="K3" s="6">
        <f t="shared" ref="K3:K6" ca="1" si="5">NOW()</f>
        <v>46240.680200000003</v>
      </c>
      <c r="L3">
        <f t="shared" ref="L3:L6" si="6">DATEDIF(C3,D3,"Y")</f>
        <v>4</v>
      </c>
      <c r="M3">
        <f t="shared" ref="M3:M6" si="7">NETWORKDAYS(C3,D3)</f>
        <v>1045</v>
      </c>
      <c r="N3" s="5">
        <f t="shared" ref="N3:N6" si="8">EOMONTH(C3,0)</f>
        <v>44286</v>
      </c>
    </row>
    <row r="4" spans="1:14">
      <c r="A4" s="1">
        <v>103</v>
      </c>
      <c r="B4" s="1" t="s">
        <v>7</v>
      </c>
      <c r="C4" s="2">
        <v>44022</v>
      </c>
      <c r="D4" s="2">
        <v>45116</v>
      </c>
      <c r="E4" s="2">
        <v>34704</v>
      </c>
      <c r="F4">
        <f t="shared" si="0"/>
        <v>10</v>
      </c>
      <c r="G4">
        <f t="shared" si="1"/>
        <v>7</v>
      </c>
      <c r="H4">
        <f t="shared" si="2"/>
        <v>2020</v>
      </c>
      <c r="I4">
        <f t="shared" si="3"/>
        <v>28</v>
      </c>
      <c r="J4" s="5">
        <f t="shared" ca="1" si="4"/>
        <v>46240</v>
      </c>
      <c r="K4" s="6">
        <f t="shared" ca="1" si="5"/>
        <v>46240.680200000003</v>
      </c>
      <c r="L4">
        <f t="shared" si="6"/>
        <v>2</v>
      </c>
      <c r="M4">
        <f t="shared" si="7"/>
        <v>781</v>
      </c>
      <c r="N4" s="5">
        <f t="shared" si="8"/>
        <v>44043</v>
      </c>
    </row>
    <row r="5" spans="1:14">
      <c r="A5" s="1">
        <v>104</v>
      </c>
      <c r="B5" s="1" t="s">
        <v>8</v>
      </c>
      <c r="C5" s="2">
        <v>44958</v>
      </c>
      <c r="D5" s="2">
        <v>46053</v>
      </c>
      <c r="E5" s="2">
        <v>32478</v>
      </c>
      <c r="F5">
        <f t="shared" si="0"/>
        <v>1</v>
      </c>
      <c r="G5">
        <f t="shared" si="1"/>
        <v>2</v>
      </c>
      <c r="H5">
        <f t="shared" si="2"/>
        <v>2023</v>
      </c>
      <c r="I5">
        <f t="shared" si="3"/>
        <v>5</v>
      </c>
      <c r="J5" s="5">
        <f t="shared" ca="1" si="4"/>
        <v>46240</v>
      </c>
      <c r="K5" s="6">
        <f t="shared" ca="1" si="5"/>
        <v>46240.680200000003</v>
      </c>
      <c r="L5">
        <f t="shared" si="6"/>
        <v>2</v>
      </c>
      <c r="M5">
        <f t="shared" si="7"/>
        <v>783</v>
      </c>
      <c r="N5" s="5">
        <f t="shared" si="8"/>
        <v>44985</v>
      </c>
    </row>
    <row r="6" spans="1:14">
      <c r="A6" s="1">
        <v>105</v>
      </c>
      <c r="B6" s="1" t="s">
        <v>9</v>
      </c>
      <c r="C6" s="2">
        <v>44920</v>
      </c>
      <c r="D6" s="2">
        <v>45651</v>
      </c>
      <c r="E6" s="2">
        <v>33734</v>
      </c>
      <c r="F6">
        <f t="shared" si="0"/>
        <v>25</v>
      </c>
      <c r="G6">
        <f t="shared" si="1"/>
        <v>12</v>
      </c>
      <c r="H6">
        <f t="shared" si="2"/>
        <v>2022</v>
      </c>
      <c r="I6">
        <f t="shared" si="3"/>
        <v>53</v>
      </c>
      <c r="J6" s="5">
        <f t="shared" ca="1" si="4"/>
        <v>46240</v>
      </c>
      <c r="K6" s="6">
        <f t="shared" ca="1" si="5"/>
        <v>46240.680200000003</v>
      </c>
      <c r="L6">
        <f t="shared" si="6"/>
        <v>2</v>
      </c>
      <c r="M6">
        <f t="shared" si="7"/>
        <v>523</v>
      </c>
      <c r="N6" s="5">
        <f t="shared" si="8"/>
        <v>44926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asus</cp:lastModifiedBy>
  <dcterms:created xsi:type="dcterms:W3CDTF">2025-09-28T13:58:33Z</dcterms:created>
  <dcterms:modified xsi:type="dcterms:W3CDTF">2026-08-06T10:50:47Z</dcterms:modified>
</cp:coreProperties>
</file>