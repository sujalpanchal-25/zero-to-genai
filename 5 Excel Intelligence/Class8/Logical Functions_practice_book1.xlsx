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8\"/>
    </mc:Choice>
  </mc:AlternateContent>
  <xr:revisionPtr revIDLastSave="0" documentId="13_ncr:1_{663EFC48-1E5D-4CD6-B769-059F195A1240}" xr6:coauthVersionLast="36" xr6:coauthVersionMax="47" xr10:uidLastSave="{00000000-0000-0000-0000-000000000000}"/>
  <bookViews>
    <workbookView xWindow="0" yWindow="0" windowWidth="23040" windowHeight="9648" xr2:uid="{40C2AD64-1959-4267-9CE1-09E41FA55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K3" i="1"/>
  <c r="K4" i="1"/>
  <c r="K5" i="1"/>
  <c r="K6" i="1"/>
  <c r="K2" i="1"/>
  <c r="J3" i="1"/>
  <c r="J4" i="1"/>
  <c r="J5" i="1"/>
  <c r="J6" i="1"/>
  <c r="J2" i="1"/>
  <c r="I3" i="1" l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<sst xmlns="http://schemas.openxmlformats.org/spreadsheetml/2006/main" count="27" uniqueCount="24">
  <si>
    <t>Name</t>
  </si>
  <si>
    <t>Age</t>
  </si>
  <si>
    <t>Department</t>
  </si>
  <si>
    <t>Salary</t>
  </si>
  <si>
    <t>Performance</t>
  </si>
  <si>
    <t>Aditi</t>
  </si>
  <si>
    <t>HR</t>
  </si>
  <si>
    <t>Good</t>
  </si>
  <si>
    <t>Raj</t>
  </si>
  <si>
    <t>IT</t>
  </si>
  <si>
    <t>Excellent</t>
  </si>
  <si>
    <t>Meena</t>
  </si>
  <si>
    <t>Finance</t>
  </si>
  <si>
    <t>Average</t>
  </si>
  <si>
    <t>Karan</t>
  </si>
  <si>
    <t>Poor</t>
  </si>
  <si>
    <t>Sonia</t>
  </si>
  <si>
    <t>Low/High</t>
  </si>
  <si>
    <t>IT/High</t>
  </si>
  <si>
    <t>Junior/Senior</t>
  </si>
  <si>
    <t>IS - HR</t>
  </si>
  <si>
    <t>Bonus</t>
  </si>
  <si>
    <t>Full Dept Name</t>
  </si>
  <si>
    <t>Salary With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</si>
</sst>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2606-CD84-4BB0-A015-C2BB07549B98}">
  <dimension ref="A1:L6"/>
  <sheetViews>
    <sheetView tabSelected="1" topLeftCell="B1" workbookViewId="0">
      <selection activeCell="F13" sqref="F13"/>
    </sheetView>
  </sheetViews>
  <sheetFormatPr defaultRowHeight="20.399999999999999"/>
  <cols>
    <col min="1" max="1" width="6.265625" style="3" bestFit="1" customWidth="1"/>
    <col min="2" max="2" width="4.1328125" style="3" bestFit="1" customWidth="1"/>
    <col min="3" max="3" width="11" style="3" bestFit="1" customWidth="1"/>
    <col min="4" max="4" width="6.265625" style="3" bestFit="1" customWidth="1"/>
    <col min="5" max="5" width="12" style="3" bestFit="1" customWidth="1"/>
    <col min="6" max="7" width="9.06640625" style="3"/>
    <col min="8" max="8" width="12.6640625" style="3" bestFit="1" customWidth="1"/>
    <col min="9" max="9" width="9.6640625" style="3" bestFit="1" customWidth="1"/>
    <col min="10" max="10" width="9.06640625" style="3"/>
    <col min="11" max="11" width="19.73046875" bestFit="1" customWidth="1"/>
    <col min="12" max="12" width="17.06640625" style="3" bestFit="1" customWidth="1"/>
  </cols>
  <sheetData>
    <row r="1" spans="1:12" s="5" customFormat="1" ht="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5" t="s">
        <v>22</v>
      </c>
      <c r="L1" s="4" t="s">
        <v>23</v>
      </c>
    </row>
    <row r="2" spans="1:12">
      <c r="A2" s="1" t="s">
        <v>5</v>
      </c>
      <c r="B2" s="1">
        <v>25</v>
      </c>
      <c r="C2" s="1" t="s">
        <v>6</v>
      </c>
      <c r="D2" s="2">
        <v>40000</v>
      </c>
      <c r="E2" s="1" t="s">
        <v>7</v>
      </c>
      <c r="F2" s="3" t="str">
        <f>IF(D2&gt;50000,"HIGH","LOW")</f>
        <v>LOW</v>
      </c>
      <c r="G2" s="3" t="str">
        <f>IF(AND(D2&gt;50000,C2="IT"),"High","Low")</f>
        <v>Low</v>
      </c>
      <c r="H2" s="3" t="str">
        <f>IF(OR(D2&lt;50000,B2&lt;30),"Junior","Senior")</f>
        <v>Junior</v>
      </c>
      <c r="I2" s="3" t="str">
        <f>IF(NOT(C2="HR"),"Other Dept","HR")</f>
        <v>HR</v>
      </c>
      <c r="J2" s="3" t="str">
        <f>_xlfn.IFS(E2="Excellent","20%",E2="Good","10%",E2="Average","5%",TRUE,"0%")</f>
        <v>10%</v>
      </c>
      <c r="K2" t="str">
        <f>_xlfn.SWITCH(C2,"HR","Humon Resources","IT","Information Technology","Finance","Accounting","No need")</f>
        <v>Humon Resources</v>
      </c>
      <c r="L2" s="3">
        <f>D2+(D2*J2)</f>
        <v>44000</v>
      </c>
    </row>
    <row r="3" spans="1:12">
      <c r="A3" s="1" t="s">
        <v>8</v>
      </c>
      <c r="B3" s="1">
        <v>35</v>
      </c>
      <c r="C3" s="1" t="s">
        <v>9</v>
      </c>
      <c r="D3" s="2">
        <v>65000</v>
      </c>
      <c r="E3" s="1" t="s">
        <v>10</v>
      </c>
      <c r="F3" s="3" t="str">
        <f t="shared" ref="F3:F6" si="0">IF(D3&gt;50000,"HIGH","LOW")</f>
        <v>HIGH</v>
      </c>
      <c r="G3" s="3" t="str">
        <f t="shared" ref="G3:G6" si="1">IF(AND(D3&gt;50000,C3="IT"),"High","Low")</f>
        <v>High</v>
      </c>
      <c r="H3" s="3" t="str">
        <f t="shared" ref="H3:H6" si="2">IF(OR(D3&lt;50000,B3&lt;30),"Junior","Senior")</f>
        <v>Senior</v>
      </c>
      <c r="I3" s="3" t="str">
        <f t="shared" ref="I3:I6" si="3">IF(NOT(C3="HR"),"Other Dept","HR")</f>
        <v>Other Dept</v>
      </c>
      <c r="J3" s="3" t="str">
        <f t="shared" ref="J3:J6" si="4">_xlfn.IFS(E3="Excellent","20%",E3="Good","10%",E3="Average","5%",TRUE,"0%")</f>
        <v>20%</v>
      </c>
      <c r="K3" t="str">
        <f t="shared" ref="K3:K6" si="5">_xlfn.SWITCH(C3,"HR","Humon Resources","IT","Information Technology","Finance","Accounting","No need")</f>
        <v>Information Technology</v>
      </c>
      <c r="L3" s="3">
        <f t="shared" ref="L3:L6" si="6">D3+(D3*J3)</f>
        <v>78000</v>
      </c>
    </row>
    <row r="4" spans="1:12">
      <c r="A4" s="1" t="s">
        <v>11</v>
      </c>
      <c r="B4" s="1">
        <v>28</v>
      </c>
      <c r="C4" s="1" t="s">
        <v>12</v>
      </c>
      <c r="D4" s="2">
        <v>55000</v>
      </c>
      <c r="E4" s="1" t="s">
        <v>13</v>
      </c>
      <c r="F4" s="3" t="str">
        <f t="shared" si="0"/>
        <v>HIGH</v>
      </c>
      <c r="G4" s="3" t="str">
        <f t="shared" si="1"/>
        <v>Low</v>
      </c>
      <c r="H4" s="3" t="str">
        <f t="shared" si="2"/>
        <v>Junior</v>
      </c>
      <c r="I4" s="3" t="str">
        <f t="shared" si="3"/>
        <v>Other Dept</v>
      </c>
      <c r="J4" s="3" t="str">
        <f t="shared" si="4"/>
        <v>5%</v>
      </c>
      <c r="K4" t="str">
        <f t="shared" si="5"/>
        <v>Accounting</v>
      </c>
      <c r="L4" s="3">
        <f t="shared" si="6"/>
        <v>57750</v>
      </c>
    </row>
    <row r="5" spans="1:12">
      <c r="A5" s="1" t="s">
        <v>14</v>
      </c>
      <c r="B5" s="1">
        <v>42</v>
      </c>
      <c r="C5" s="1" t="s">
        <v>9</v>
      </c>
      <c r="D5" s="2">
        <v>80000</v>
      </c>
      <c r="E5" s="1" t="s">
        <v>15</v>
      </c>
      <c r="F5" s="3" t="str">
        <f t="shared" si="0"/>
        <v>HIGH</v>
      </c>
      <c r="G5" s="3" t="str">
        <f t="shared" si="1"/>
        <v>High</v>
      </c>
      <c r="H5" s="3" t="str">
        <f t="shared" si="2"/>
        <v>Senior</v>
      </c>
      <c r="I5" s="3" t="str">
        <f t="shared" si="3"/>
        <v>Other Dept</v>
      </c>
      <c r="J5" s="3" t="str">
        <f t="shared" si="4"/>
        <v>0%</v>
      </c>
      <c r="K5" t="str">
        <f t="shared" si="5"/>
        <v>Information Technology</v>
      </c>
      <c r="L5" s="3">
        <f t="shared" si="6"/>
        <v>80000</v>
      </c>
    </row>
    <row r="6" spans="1:12">
      <c r="A6" s="1" t="s">
        <v>16</v>
      </c>
      <c r="B6" s="1">
        <v>30</v>
      </c>
      <c r="C6" s="1" t="s">
        <v>6</v>
      </c>
      <c r="D6" s="2">
        <v>50000</v>
      </c>
      <c r="E6" s="1" t="s">
        <v>7</v>
      </c>
      <c r="F6" s="3" t="str">
        <f t="shared" si="0"/>
        <v>LOW</v>
      </c>
      <c r="G6" s="3" t="str">
        <f t="shared" si="1"/>
        <v>Low</v>
      </c>
      <c r="H6" s="3" t="str">
        <f t="shared" si="2"/>
        <v>Senior</v>
      </c>
      <c r="I6" s="3" t="str">
        <f t="shared" si="3"/>
        <v>HR</v>
      </c>
      <c r="J6" s="3" t="str">
        <f t="shared" si="4"/>
        <v>10%</v>
      </c>
      <c r="K6" t="str">
        <f t="shared" si="5"/>
        <v>Humon Resources</v>
      </c>
      <c r="L6" s="3">
        <f t="shared" si="6"/>
        <v>55000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2025-09-28T12:45:06Z</dcterms:created>
  <dcterms:modified xsi:type="dcterms:W3CDTF">2026-08-03T11:57:04Z</dcterms:modified>
</cp:coreProperties>
</file>