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hidePivotFieldList="1"/>
  <mc:AlternateContent xmlns:mc="http://schemas.openxmlformats.org/markup-compatibility/2006">
    <mc:Choice Requires="x15">
      <x15ac:absPath xmlns:x15ac="http://schemas.microsoft.com/office/spreadsheetml/2010/11/ac" url="D:\PROGRAMMING\Data Science and Analytics with GenAl\5 Excel Intelligence\Project1\IPL Dashboard\"/>
    </mc:Choice>
  </mc:AlternateContent>
  <xr:revisionPtr revIDLastSave="0" documentId="13_ncr:1_{DDCEDA3A-5BB1-481F-8CE2-3FEAB3730981}" xr6:coauthVersionLast="36" xr6:coauthVersionMax="36" xr10:uidLastSave="{00000000-0000-0000-0000-000000000000}"/>
  <bookViews>
    <workbookView xWindow="0" yWindow="0" windowWidth="22260" windowHeight="12648" firstSheet="4" activeTab="8" xr2:uid="{00000000-000D-0000-FFFF-FFFF00000000}"/>
  </bookViews>
  <sheets>
    <sheet name="fact_player" sheetId="6" r:id="rId1"/>
    <sheet name="fact_match" sheetId="5" r:id="rId2"/>
    <sheet name="dim_venue" sheetId="4" r:id="rId3"/>
    <sheet name="dim_team" sheetId="3" r:id="rId4"/>
    <sheet name="dim_player" sheetId="2" r:id="rId5"/>
    <sheet name="Player Summary" sheetId="10" r:id="rId6"/>
    <sheet name="Sheet1" sheetId="1" r:id="rId7"/>
    <sheet name="Team Summary" sheetId="7" r:id="rId8"/>
    <sheet name="Team Performance Dashboard" sheetId="11" r:id="rId9"/>
  </sheets>
  <definedNames>
    <definedName name="_xlcn.WorksheetConnection_IPLDashboard.xlsxdim_player1" hidden="1">dim_player[]</definedName>
    <definedName name="_xlcn.WorksheetConnection_IPLDashboard.xlsxdim_team1" hidden="1">dim_team[]</definedName>
    <definedName name="_xlcn.WorksheetConnection_IPLDashboard.xlsxdim_venue1" hidden="1">dim_venue[]</definedName>
    <definedName name="_xlcn.WorksheetConnection_IPLDashboard.xlsxfact_match1" hidden="1">fact_match[]</definedName>
    <definedName name="_xlcn.WorksheetConnection_IPLDashboard.xlsxfact_player1" hidden="1">fact_player[]</definedName>
    <definedName name="ExternalData_1" localSheetId="4" hidden="1">dim_player!$A$1:$H$34</definedName>
    <definedName name="ExternalData_2" localSheetId="3" hidden="1">dim_team!$A$1:$G$9</definedName>
    <definedName name="ExternalData_3" localSheetId="2" hidden="1">dim_venue!$A$1:$D$11</definedName>
    <definedName name="ExternalData_4" localSheetId="1" hidden="1">fact_match!$A$1:$N$61</definedName>
    <definedName name="ExternalData_5" localSheetId="0" hidden="1">fact_player!$A$1:$K$202</definedName>
    <definedName name="Slicer_Team_Name">#N/A</definedName>
    <definedName name="Slicer_Venue_Name">#N/A</definedName>
  </definedNames>
  <calcPr calcId="191029"/>
  <pivotCaches>
    <pivotCache cacheId="1032" r:id="rId10"/>
    <pivotCache cacheId="1035" r:id="rId11"/>
    <pivotCache cacheId="1038" r:id="rId12"/>
    <pivotCache cacheId="1041" r:id="rId13"/>
    <pivotCache cacheId="1047" r:id="rId14"/>
    <pivotCache cacheId="1053" r:id="rId15"/>
  </pivotCaches>
  <extLst>
    <ext xmlns:x14="http://schemas.microsoft.com/office/spreadsheetml/2009/9/main" uri="{876F7934-8845-4945-9796-88D515C7AA90}">
      <x14:pivotCaches>
        <pivotCache cacheId="518"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player" name="fact_player" connection="WorksheetConnection_IPL Dashboard.xlsx!fact_player"/>
          <x15:modelTable id="fact_match" name="fact_match" connection="WorksheetConnection_IPL Dashboard.xlsx!fact_match"/>
          <x15:modelTable id="dim_venue" name="dim_venue" connection="WorksheetConnection_IPL Dashboard.xlsx!dim_venue"/>
          <x15:modelTable id="dim_team" name="dim_team" connection="WorksheetConnection_IPL Dashboard.xlsx!dim_team"/>
          <x15:modelTable id="dim_player" name="dim_player" connection="WorksheetConnection_IPL Dashboard.xlsx!dim_player"/>
        </x15:modelTables>
        <x15:modelRelationships>
          <x15:modelRelationship fromTable="fact_player" fromColumn="Player_ID" toTable="dim_player" toColumn="Player_ID"/>
          <x15:modelRelationship fromTable="fact_player" fromColumn="Match_ID" toTable="fact_match" toColumn="Match_ID"/>
          <x15:modelRelationship fromTable="fact_match" fromColumn="Team1_ID" toTable="dim_team" toColumn="Team_ID"/>
          <x15:modelRelationship fromTable="fact_match" fromColumn="Venue_ID" toTable="dim_venue" toColumn="Venue_ID"/>
        </x15:modelRelationships>
      </x15:dataModel>
    </ext>
  </extLst>
</workbook>
</file>

<file path=xl/calcChain.xml><?xml version="1.0" encoding="utf-8"?>
<calcChain xmlns="http://schemas.openxmlformats.org/spreadsheetml/2006/main">
  <c r="R10" i="7" l="1"/>
  <c r="R9" i="7"/>
  <c r="R8" i="7"/>
  <c r="R7"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922035-12C8-48BD-B779-FB475B285850}" keepAlive="1" name="Query - dim_player" description="Connection to the 'dim_player' query in the workbook." type="5" refreshedVersion="6" background="1" saveData="1">
    <dbPr connection="Provider=Microsoft.Mashup.OleDb.1;Data Source=$Workbook$;Location=dim_player;Extended Properties=&quot;&quot;" command="SELECT * FROM [dim_player]"/>
  </connection>
  <connection id="2" xr16:uid="{1752CD6D-F485-4D9B-A887-11D0E721C800}" keepAlive="1" name="Query - dim_team" description="Connection to the 'dim_team' query in the workbook." type="5" refreshedVersion="6" background="1" saveData="1">
    <dbPr connection="Provider=Microsoft.Mashup.OleDb.1;Data Source=$Workbook$;Location=dim_team;Extended Properties=&quot;&quot;" command="SELECT * FROM [dim_team]"/>
  </connection>
  <connection id="3" xr16:uid="{CD87D5FC-700B-45C1-8500-39A065ABD7F6}" keepAlive="1" name="Query - dim_venue" description="Connection to the 'dim_venue' query in the workbook." type="5" refreshedVersion="6" background="1" saveData="1">
    <dbPr connection="Provider=Microsoft.Mashup.OleDb.1;Data Source=$Workbook$;Location=dim_venue;Extended Properties=&quot;&quot;" command="SELECT * FROM [dim_venue]"/>
  </connection>
  <connection id="4" xr16:uid="{EA08AD80-6FA6-444A-925A-52709DBD555F}" keepAlive="1" name="Query - fact_match" description="Connection to the 'fact_match' query in the workbook." type="5" refreshedVersion="6" background="1" saveData="1">
    <dbPr connection="Provider=Microsoft.Mashup.OleDb.1;Data Source=$Workbook$;Location=fact_match;Extended Properties=&quot;&quot;" command="SELECT * FROM [fact_match]"/>
  </connection>
  <connection id="5" xr16:uid="{F4CE7BEC-71B6-4A67-BC69-093A0B5E0F88}" keepAlive="1" name="Query - fact_player" description="Connection to the 'fact_player' query in the workbook." type="5" refreshedVersion="6" background="1" saveData="1">
    <dbPr connection="Provider=Microsoft.Mashup.OleDb.1;Data Source=$Workbook$;Location=fact_player;Extended Properties=&quot;&quot;" command="SELECT * FROM [fact_player]"/>
  </connection>
  <connection id="6" xr16:uid="{EE0C98F3-0714-49D8-8F4E-4A092FD1E4DB}"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772E5471-42B1-4549-B90E-C657E80DCF7F}" name="WorksheetConnection_IPL Dashboard.xlsx!dim_player" type="102" refreshedVersion="6" minRefreshableVersion="5">
    <extLst>
      <ext xmlns:x15="http://schemas.microsoft.com/office/spreadsheetml/2010/11/main" uri="{DE250136-89BD-433C-8126-D09CA5730AF9}">
        <x15:connection id="dim_player">
          <x15:rangePr sourceName="_xlcn.WorksheetConnection_IPLDashboard.xlsxdim_player1"/>
        </x15:connection>
      </ext>
    </extLst>
  </connection>
  <connection id="8" xr16:uid="{D9A24E04-A70F-4A84-8653-CC4CC8EE7DFA}" name="WorksheetConnection_IPL Dashboard.xlsx!dim_team" type="102" refreshedVersion="6" minRefreshableVersion="5">
    <extLst>
      <ext xmlns:x15="http://schemas.microsoft.com/office/spreadsheetml/2010/11/main" uri="{DE250136-89BD-433C-8126-D09CA5730AF9}">
        <x15:connection id="dim_team">
          <x15:rangePr sourceName="_xlcn.WorksheetConnection_IPLDashboard.xlsxdim_team1"/>
        </x15:connection>
      </ext>
    </extLst>
  </connection>
  <connection id="9" xr16:uid="{2C86E0C2-AC4F-4FEA-B8DA-F702E60C1F1C}" name="WorksheetConnection_IPL Dashboard.xlsx!dim_venue" type="102" refreshedVersion="6" minRefreshableVersion="5">
    <extLst>
      <ext xmlns:x15="http://schemas.microsoft.com/office/spreadsheetml/2010/11/main" uri="{DE250136-89BD-433C-8126-D09CA5730AF9}">
        <x15:connection id="dim_venue">
          <x15:rangePr sourceName="_xlcn.WorksheetConnection_IPLDashboard.xlsxdim_venue1"/>
        </x15:connection>
      </ext>
    </extLst>
  </connection>
  <connection id="10" xr16:uid="{20F91103-E232-4167-8EDD-A3F2EE495BA0}" name="WorksheetConnection_IPL Dashboard.xlsx!fact_match" type="102" refreshedVersion="6" minRefreshableVersion="5">
    <extLst>
      <ext xmlns:x15="http://schemas.microsoft.com/office/spreadsheetml/2010/11/main" uri="{DE250136-89BD-433C-8126-D09CA5730AF9}">
        <x15:connection id="fact_match">
          <x15:rangePr sourceName="_xlcn.WorksheetConnection_IPLDashboard.xlsxfact_match1"/>
        </x15:connection>
      </ext>
    </extLst>
  </connection>
  <connection id="11" xr16:uid="{44C102F2-6F08-4661-8F93-AF2501464B4A}" name="WorksheetConnection_IPL Dashboard.xlsx!fact_player" type="102" refreshedVersion="6" minRefreshableVersion="5">
    <extLst>
      <ext xmlns:x15="http://schemas.microsoft.com/office/spreadsheetml/2010/11/main" uri="{DE250136-89BD-433C-8126-D09CA5730AF9}">
        <x15:connection id="fact_player">
          <x15:rangePr sourceName="_xlcn.WorksheetConnection_IPLDashboard.xlsxfact_player1"/>
        </x15:connection>
      </ext>
    </extLst>
  </connection>
</connections>
</file>

<file path=xl/sharedStrings.xml><?xml version="1.0" encoding="utf-8"?>
<sst xmlns="http://schemas.openxmlformats.org/spreadsheetml/2006/main" count="1294" uniqueCount="351">
  <si>
    <t>Player_ID</t>
  </si>
  <si>
    <t>Player_Name</t>
  </si>
  <si>
    <t>Team_ID</t>
  </si>
  <si>
    <t>Role</t>
  </si>
  <si>
    <t>Nationality</t>
  </si>
  <si>
    <t>Age</t>
  </si>
  <si>
    <t>Batting_Style</t>
  </si>
  <si>
    <t>Bowling_Style</t>
  </si>
  <si>
    <t>P001</t>
  </si>
  <si>
    <t>Suryakumar Yadav</t>
  </si>
  <si>
    <t>T01</t>
  </si>
  <si>
    <t>Batsman</t>
  </si>
  <si>
    <t>Indian</t>
  </si>
  <si>
    <t>Right-hand Bat</t>
  </si>
  <si>
    <t>Off-break</t>
  </si>
  <si>
    <t>P002</t>
  </si>
  <si>
    <t>Jasprit Bumrah</t>
  </si>
  <si>
    <t>Bowler</t>
  </si>
  <si>
    <t>Right-arm Fast</t>
  </si>
  <si>
    <t>P003</t>
  </si>
  <si>
    <t>Ishan Kishan</t>
  </si>
  <si>
    <t>Wicketkeeper</t>
  </si>
  <si>
    <t>Left-hand Bat</t>
  </si>
  <si>
    <t>None</t>
  </si>
  <si>
    <t>P004</t>
  </si>
  <si>
    <t>Tilak Varma</t>
  </si>
  <si>
    <t>All-Rounder</t>
  </si>
  <si>
    <t>P005</t>
  </si>
  <si>
    <t>Hardik Pandya</t>
  </si>
  <si>
    <t>Right-arm Medium</t>
  </si>
  <si>
    <t>P006</t>
  </si>
  <si>
    <t>Shivam Dube</t>
  </si>
  <si>
    <t>T02</t>
  </si>
  <si>
    <t>P007</t>
  </si>
  <si>
    <t>Deepak Chahar</t>
  </si>
  <si>
    <t>Right-arm Medium-Fast</t>
  </si>
  <si>
    <t>P008</t>
  </si>
  <si>
    <t>Daryl Mitchell</t>
  </si>
  <si>
    <t>New Zealander</t>
  </si>
  <si>
    <t>P009</t>
  </si>
  <si>
    <t>Matheesha Pathirana</t>
  </si>
  <si>
    <t>Sri Lankan</t>
  </si>
  <si>
    <t>P010</t>
  </si>
  <si>
    <t>Virat Kohli</t>
  </si>
  <si>
    <t>T03</t>
  </si>
  <si>
    <t>P011</t>
  </si>
  <si>
    <t>Mohammed Siraj</t>
  </si>
  <si>
    <t>P012</t>
  </si>
  <si>
    <t>Glenn Maxwell</t>
  </si>
  <si>
    <t>Australian</t>
  </si>
  <si>
    <t>P013</t>
  </si>
  <si>
    <t>Dinesh Karthik</t>
  </si>
  <si>
    <t>P014</t>
  </si>
  <si>
    <t>Rinku Singh</t>
  </si>
  <si>
    <t>T04</t>
  </si>
  <si>
    <t>P015</t>
  </si>
  <si>
    <t>Andre Russell</t>
  </si>
  <si>
    <t>West Indian</t>
  </si>
  <si>
    <t>P016</t>
  </si>
  <si>
    <t>Sunil Narine</t>
  </si>
  <si>
    <t>P017</t>
  </si>
  <si>
    <t>Varun Chakravarthy</t>
  </si>
  <si>
    <t>Leg-break</t>
  </si>
  <si>
    <t>P018</t>
  </si>
  <si>
    <t>David Warner</t>
  </si>
  <si>
    <t>T05</t>
  </si>
  <si>
    <t>P019</t>
  </si>
  <si>
    <t>Kuldeep Yadav</t>
  </si>
  <si>
    <t>Left-arm Chinaman</t>
  </si>
  <si>
    <t>P020</t>
  </si>
  <si>
    <t>Mitchell Marsh</t>
  </si>
  <si>
    <t>P021</t>
  </si>
  <si>
    <t>Axar Patel</t>
  </si>
  <si>
    <t>Left-arm Off-break</t>
  </si>
  <si>
    <t>P022</t>
  </si>
  <si>
    <t>Jos Buttler</t>
  </si>
  <si>
    <t>T06</t>
  </si>
  <si>
    <t>English</t>
  </si>
  <si>
    <t>P023</t>
  </si>
  <si>
    <t>Yuzvendra Chahal</t>
  </si>
  <si>
    <t>P024</t>
  </si>
  <si>
    <t>Trent Boult</t>
  </si>
  <si>
    <t>Left-arm Fast-Medium</t>
  </si>
  <si>
    <t>P025</t>
  </si>
  <si>
    <t>Yashasvi Jaiswal</t>
  </si>
  <si>
    <t>P026</t>
  </si>
  <si>
    <t>Liam Livingstone</t>
  </si>
  <si>
    <t>T07</t>
  </si>
  <si>
    <t>P027</t>
  </si>
  <si>
    <t>Arshdeep Singh</t>
  </si>
  <si>
    <t>Left-arm Medium-Fast</t>
  </si>
  <si>
    <t>P028</t>
  </si>
  <si>
    <t>Jitesh Sharma</t>
  </si>
  <si>
    <t>P029</t>
  </si>
  <si>
    <t>Kagiso Rabada</t>
  </si>
  <si>
    <t>South African</t>
  </si>
  <si>
    <t>P030</t>
  </si>
  <si>
    <t>Abhishek Sharma</t>
  </si>
  <si>
    <t>T08</t>
  </si>
  <si>
    <t>P031</t>
  </si>
  <si>
    <t>Bhuvneshwar Kumar</t>
  </si>
  <si>
    <t>P032</t>
  </si>
  <si>
    <t>Heinrich Klaasen</t>
  </si>
  <si>
    <t>P033</t>
  </si>
  <si>
    <t>Travis Head</t>
  </si>
  <si>
    <t>Team_Name</t>
  </si>
  <si>
    <t>Captain</t>
  </si>
  <si>
    <t>Coach</t>
  </si>
  <si>
    <t>Home_Ground</t>
  </si>
  <si>
    <t>City</t>
  </si>
  <si>
    <t>Owner</t>
  </si>
  <si>
    <t>Mumbai Indians (MI)</t>
  </si>
  <si>
    <t>Rohit Sharma</t>
  </si>
  <si>
    <t>Mark Boucher</t>
  </si>
  <si>
    <t>Wankhede Stadium</t>
  </si>
  <si>
    <t>Mumbai</t>
  </si>
  <si>
    <t>Reliance Industries</t>
  </si>
  <si>
    <t>Chennai Super Kings (CSK)</t>
  </si>
  <si>
    <t>Ruturaj Gaikwad</t>
  </si>
  <si>
    <t>Stephen Fleming</t>
  </si>
  <si>
    <t>M. A. Chidambaram Stadium</t>
  </si>
  <si>
    <t>Chennai</t>
  </si>
  <si>
    <t>India Cements</t>
  </si>
  <si>
    <t>Royal Challengers Bengaluru (RCB)</t>
  </si>
  <si>
    <t>Faf du Plessis</t>
  </si>
  <si>
    <t>Andy Flower</t>
  </si>
  <si>
    <t>M. Chinnaswamy Stadium</t>
  </si>
  <si>
    <t>Bengaluru</t>
  </si>
  <si>
    <t>United Spirits</t>
  </si>
  <si>
    <t>Kolkata Knight Riders (KKR)</t>
  </si>
  <si>
    <t>Shreyas Iyer</t>
  </si>
  <si>
    <t>Chandrakant Pandit</t>
  </si>
  <si>
    <t>Eden Gardens</t>
  </si>
  <si>
    <t>Kolkata</t>
  </si>
  <si>
    <t>Shah Rukh Khan</t>
  </si>
  <si>
    <t>Delhi Capitals (DC)</t>
  </si>
  <si>
    <t>Rishabh Pant</t>
  </si>
  <si>
    <t>Ricky Ponting</t>
  </si>
  <si>
    <t>Arun Jaitley Stadium</t>
  </si>
  <si>
    <t>Delhi</t>
  </si>
  <si>
    <t>JSW Group</t>
  </si>
  <si>
    <t>Rajasthan Royals (RR)</t>
  </si>
  <si>
    <t>Sanju Samson</t>
  </si>
  <si>
    <t>Kumar Sangakkara</t>
  </si>
  <si>
    <t>Sawai Mansingh Stadium</t>
  </si>
  <si>
    <t>Jaipur</t>
  </si>
  <si>
    <t>Manoj Badale</t>
  </si>
  <si>
    <t>Punjab Kings (PBKS)</t>
  </si>
  <si>
    <t>Shikhar Dhawan</t>
  </si>
  <si>
    <t>Trevor Bayliss</t>
  </si>
  <si>
    <t>Maharaja Yadavindra Singh Int. Cricket Stadium</t>
  </si>
  <si>
    <t>Mohali</t>
  </si>
  <si>
    <t>Preity Zinta</t>
  </si>
  <si>
    <t>Sunrisers Hyderabad (SRH)</t>
  </si>
  <si>
    <t>Pat Cummins</t>
  </si>
  <si>
    <t>Daniel Vettori</t>
  </si>
  <si>
    <t>Rajiv Gandhi Int. Stadium</t>
  </si>
  <si>
    <t>Hyderabad</t>
  </si>
  <si>
    <t>Sun TV Network</t>
  </si>
  <si>
    <t>Venue_ID</t>
  </si>
  <si>
    <t>Venue_Name</t>
  </si>
  <si>
    <t>Capacity</t>
  </si>
  <si>
    <t>V01</t>
  </si>
  <si>
    <t>V02</t>
  </si>
  <si>
    <t>V03</t>
  </si>
  <si>
    <t>V04</t>
  </si>
  <si>
    <t>V05</t>
  </si>
  <si>
    <t>V06</t>
  </si>
  <si>
    <t>V07</t>
  </si>
  <si>
    <t>V08</t>
  </si>
  <si>
    <t>V09</t>
  </si>
  <si>
    <t>Narendra Modi Stadium</t>
  </si>
  <si>
    <t>Ahmedabad</t>
  </si>
  <si>
    <t>V10</t>
  </si>
  <si>
    <t>Bharat Ratna Shri Atal Bihari Vajpayee Ekana Cricket Stadium</t>
  </si>
  <si>
    <t>Lucknow</t>
  </si>
  <si>
    <t>Match_ID</t>
  </si>
  <si>
    <t>Runs</t>
  </si>
  <si>
    <t>Balls_Faced</t>
  </si>
  <si>
    <t>Fours</t>
  </si>
  <si>
    <t>Sixes</t>
  </si>
  <si>
    <t>Strike_Rate</t>
  </si>
  <si>
    <t>Overs_Bowled</t>
  </si>
  <si>
    <t>Runs_Conceded</t>
  </si>
  <si>
    <t>Wickets</t>
  </si>
  <si>
    <t>Economy</t>
  </si>
  <si>
    <t>M001</t>
  </si>
  <si>
    <t>M002</t>
  </si>
  <si>
    <t>M003</t>
  </si>
  <si>
    <t>M004</t>
  </si>
  <si>
    <t>M005</t>
  </si>
  <si>
    <t>M006</t>
  </si>
  <si>
    <t>M007</t>
  </si>
  <si>
    <t>M008</t>
  </si>
  <si>
    <t>M009</t>
  </si>
  <si>
    <t>M010</t>
  </si>
  <si>
    <t>M011</t>
  </si>
  <si>
    <t>M012</t>
  </si>
  <si>
    <t>M013</t>
  </si>
  <si>
    <t>M014</t>
  </si>
  <si>
    <t>M015</t>
  </si>
  <si>
    <t>M016</t>
  </si>
  <si>
    <t>M017</t>
  </si>
  <si>
    <t>M018</t>
  </si>
  <si>
    <t>M019</t>
  </si>
  <si>
    <t>M020</t>
  </si>
  <si>
    <t>M021</t>
  </si>
  <si>
    <t>M022</t>
  </si>
  <si>
    <t>M023</t>
  </si>
  <si>
    <t>M024</t>
  </si>
  <si>
    <t>M025</t>
  </si>
  <si>
    <t>M026</t>
  </si>
  <si>
    <t>M027</t>
  </si>
  <si>
    <t>M028</t>
  </si>
  <si>
    <t>M029</t>
  </si>
  <si>
    <t>M030</t>
  </si>
  <si>
    <t>M031</t>
  </si>
  <si>
    <t>M032</t>
  </si>
  <si>
    <t>M033</t>
  </si>
  <si>
    <t>M034</t>
  </si>
  <si>
    <t>M035</t>
  </si>
  <si>
    <t>M036</t>
  </si>
  <si>
    <t>M037</t>
  </si>
  <si>
    <t>M038</t>
  </si>
  <si>
    <t>M039</t>
  </si>
  <si>
    <t>M040</t>
  </si>
  <si>
    <t>M041</t>
  </si>
  <si>
    <t>M042</t>
  </si>
  <si>
    <t>M043</t>
  </si>
  <si>
    <t>M044</t>
  </si>
  <si>
    <t>M045</t>
  </si>
  <si>
    <t>M046</t>
  </si>
  <si>
    <t>M047</t>
  </si>
  <si>
    <t>M048</t>
  </si>
  <si>
    <t>M049</t>
  </si>
  <si>
    <t>M050</t>
  </si>
  <si>
    <t>M051</t>
  </si>
  <si>
    <t>M052</t>
  </si>
  <si>
    <t>M053</t>
  </si>
  <si>
    <t>M054</t>
  </si>
  <si>
    <t>M055</t>
  </si>
  <si>
    <t>M056</t>
  </si>
  <si>
    <t>M057</t>
  </si>
  <si>
    <t>M058</t>
  </si>
  <si>
    <t>M059</t>
  </si>
  <si>
    <t>M060</t>
  </si>
  <si>
    <t>M061</t>
  </si>
  <si>
    <t>M062</t>
  </si>
  <si>
    <t>M063</t>
  </si>
  <si>
    <t>M064</t>
  </si>
  <si>
    <t>M065</t>
  </si>
  <si>
    <t>M066</t>
  </si>
  <si>
    <t>M067</t>
  </si>
  <si>
    <t>M068</t>
  </si>
  <si>
    <t>M069</t>
  </si>
  <si>
    <t>M070</t>
  </si>
  <si>
    <t>M071</t>
  </si>
  <si>
    <t>M072</t>
  </si>
  <si>
    <t>M073</t>
  </si>
  <si>
    <t>M074</t>
  </si>
  <si>
    <t>M075</t>
  </si>
  <si>
    <t>M076</t>
  </si>
  <si>
    <t>M077</t>
  </si>
  <si>
    <t>M078</t>
  </si>
  <si>
    <t>M079</t>
  </si>
  <si>
    <t>M080</t>
  </si>
  <si>
    <t>M081</t>
  </si>
  <si>
    <t>M082</t>
  </si>
  <si>
    <t>M083</t>
  </si>
  <si>
    <t>M084</t>
  </si>
  <si>
    <t>M085</t>
  </si>
  <si>
    <t>M086</t>
  </si>
  <si>
    <t>M087</t>
  </si>
  <si>
    <t>M088</t>
  </si>
  <si>
    <t>M089</t>
  </si>
  <si>
    <t>M090</t>
  </si>
  <si>
    <t>M091</t>
  </si>
  <si>
    <t>M092</t>
  </si>
  <si>
    <t>M093</t>
  </si>
  <si>
    <t>M094</t>
  </si>
  <si>
    <t>M095</t>
  </si>
  <si>
    <t>M096</t>
  </si>
  <si>
    <t>M097</t>
  </si>
  <si>
    <t>M098</t>
  </si>
  <si>
    <t>M099</t>
  </si>
  <si>
    <t>M100</t>
  </si>
  <si>
    <t>M101</t>
  </si>
  <si>
    <t>M102</t>
  </si>
  <si>
    <t>M103</t>
  </si>
  <si>
    <t>M104</t>
  </si>
  <si>
    <t>M105</t>
  </si>
  <si>
    <t>M106</t>
  </si>
  <si>
    <t>M107</t>
  </si>
  <si>
    <t>M108</t>
  </si>
  <si>
    <t>M109</t>
  </si>
  <si>
    <t>M110</t>
  </si>
  <si>
    <t>M111</t>
  </si>
  <si>
    <t>M112</t>
  </si>
  <si>
    <t>M113</t>
  </si>
  <si>
    <t>M114</t>
  </si>
  <si>
    <t>M115</t>
  </si>
  <si>
    <t>M116</t>
  </si>
  <si>
    <t>M117</t>
  </si>
  <si>
    <t>M118</t>
  </si>
  <si>
    <t>M119</t>
  </si>
  <si>
    <t>M120</t>
  </si>
  <si>
    <t>M121</t>
  </si>
  <si>
    <t>M122</t>
  </si>
  <si>
    <t>M123</t>
  </si>
  <si>
    <t>M124</t>
  </si>
  <si>
    <t>M125</t>
  </si>
  <si>
    <t>M126</t>
  </si>
  <si>
    <t>M127</t>
  </si>
  <si>
    <t>M128</t>
  </si>
  <si>
    <t>M129</t>
  </si>
  <si>
    <t>M130</t>
  </si>
  <si>
    <t>M131</t>
  </si>
  <si>
    <t>M132</t>
  </si>
  <si>
    <t>M133</t>
  </si>
  <si>
    <t>M134</t>
  </si>
  <si>
    <t>M135</t>
  </si>
  <si>
    <t>M136</t>
  </si>
  <si>
    <t>M137</t>
  </si>
  <si>
    <t>M138</t>
  </si>
  <si>
    <t>M139</t>
  </si>
  <si>
    <t>M140</t>
  </si>
  <si>
    <t>Date</t>
  </si>
  <si>
    <t>Team1_ID</t>
  </si>
  <si>
    <t>Team2_ID</t>
  </si>
  <si>
    <t>Toss_Winner</t>
  </si>
  <si>
    <t>Match_Winner</t>
  </si>
  <si>
    <t>Man_of_Match</t>
  </si>
  <si>
    <t>Team1_Runs</t>
  </si>
  <si>
    <t>Team2_Runs</t>
  </si>
  <si>
    <t>Team1_Wickets</t>
  </si>
  <si>
    <t>Team2_Wickets</t>
  </si>
  <si>
    <t>Overs_Team1</t>
  </si>
  <si>
    <t>Overs_Team2</t>
  </si>
  <si>
    <t>Row Labels</t>
  </si>
  <si>
    <t>Grand Total</t>
  </si>
  <si>
    <t>TotalMatch</t>
  </si>
  <si>
    <t>Total Wins</t>
  </si>
  <si>
    <t>Total Runs</t>
  </si>
  <si>
    <t>Total Wickets</t>
  </si>
  <si>
    <t>Player | Team | Role Name</t>
  </si>
  <si>
    <t>Win by Runs</t>
  </si>
  <si>
    <t>Win by Wickets</t>
  </si>
  <si>
    <t>Win Type</t>
  </si>
  <si>
    <t>(blank)</t>
  </si>
  <si>
    <t>Values</t>
  </si>
  <si>
    <t>Totalwin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</si>
</sst>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0" borderId="0" xfId="0" applyNumberFormat="1"/>
    <xf numFmtId="0" fontId="0" fillId="0" borderId="0" xfId="0" applyAlignment="1">
      <alignment horizontal="left" indent="1"/>
    </xf>
    <xf numFmtId="9" fontId="0" fillId="0" borderId="0" xfId="0" applyNumberFormat="1"/>
  </cellXfs>
  <cellStyles count="1">
    <cellStyle name="Normal" xfId="0" builtinId="0"/>
  </cellStyles>
  <dxfs count="47">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m/d/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microsoft.com/office/2007/relationships/slicerCache" Target="slicerCaches/slicer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customXml" Target="../customXml/item5.xml"/><Relationship Id="rId11" Type="http://schemas.openxmlformats.org/officeDocument/2006/relationships/pivotCacheDefinition" Target="pivotCache/pivotCacheDefinition2.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3" Type="http://schemas.openxmlformats.org/officeDocument/2006/relationships/customXml" Target="../customXml/item29.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worksheet" Target="worksheets/sheet8.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 Id="rId54"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Dashboard.xlsx]Team Summary!PivotTable2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Team</a:t>
            </a:r>
            <a:r>
              <a:rPr lang="en-US" baseline="0"/>
              <a:t> Vs Wins</a:t>
            </a:r>
            <a:endParaRPr lang="en-US"/>
          </a:p>
        </c:rich>
      </c:tx>
      <c:layout>
        <c:manualLayout>
          <c:xMode val="edge"/>
          <c:yMode val="edge"/>
          <c:x val="0.38359711286089232"/>
          <c:y val="7.768299795858850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3456867891513556"/>
          <c:y val="0.23754410906969961"/>
          <c:w val="0.52854243219597563"/>
          <c:h val="0.58734762321376499"/>
        </c:manualLayout>
      </c:layout>
      <c:bar3DChart>
        <c:barDir val="bar"/>
        <c:grouping val="clustered"/>
        <c:varyColors val="0"/>
        <c:ser>
          <c:idx val="0"/>
          <c:order val="0"/>
          <c:tx>
            <c:strRef>
              <c:f>'Team Summary'!$B$16</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 Summary'!$A$17:$A$26</c:f>
              <c:strCache>
                <c:ptCount val="9"/>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pt idx="8">
                  <c:v>(blank)</c:v>
                </c:pt>
              </c:strCache>
            </c:strRef>
          </c:cat>
          <c:val>
            <c:numRef>
              <c:f>'Team Summary'!$B$17:$B$26</c:f>
              <c:numCache>
                <c:formatCode>General</c:formatCode>
                <c:ptCount val="9"/>
                <c:pt idx="0">
                  <c:v>5</c:v>
                </c:pt>
                <c:pt idx="1">
                  <c:v>2</c:v>
                </c:pt>
                <c:pt idx="2">
                  <c:v>4</c:v>
                </c:pt>
                <c:pt idx="3">
                  <c:v>4</c:v>
                </c:pt>
                <c:pt idx="4">
                  <c:v>2</c:v>
                </c:pt>
                <c:pt idx="5">
                  <c:v>4</c:v>
                </c:pt>
                <c:pt idx="6">
                  <c:v>4</c:v>
                </c:pt>
                <c:pt idx="7">
                  <c:v>5</c:v>
                </c:pt>
                <c:pt idx="8">
                  <c:v>0</c:v>
                </c:pt>
              </c:numCache>
            </c:numRef>
          </c:val>
          <c:extLst>
            <c:ext xmlns:c16="http://schemas.microsoft.com/office/drawing/2014/chart" uri="{C3380CC4-5D6E-409C-BE32-E72D297353CC}">
              <c16:uniqueId val="{00000000-EE99-4CD4-B818-11C0AB9A63BC}"/>
            </c:ext>
          </c:extLst>
        </c:ser>
        <c:dLbls>
          <c:showLegendKey val="0"/>
          <c:showVal val="1"/>
          <c:showCatName val="0"/>
          <c:showSerName val="0"/>
          <c:showPercent val="0"/>
          <c:showBubbleSize val="0"/>
        </c:dLbls>
        <c:gapWidth val="150"/>
        <c:shape val="box"/>
        <c:axId val="408364287"/>
        <c:axId val="406757855"/>
        <c:axId val="0"/>
      </c:bar3DChart>
      <c:catAx>
        <c:axId val="40836428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757855"/>
        <c:crosses val="autoZero"/>
        <c:auto val="1"/>
        <c:lblAlgn val="ctr"/>
        <c:lblOffset val="100"/>
        <c:noMultiLvlLbl val="0"/>
      </c:catAx>
      <c:valAx>
        <c:axId val="406757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364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Dashboard.xlsx]Team Summary!PivotTable4</c:name>
    <c:fmtId val="1"/>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b="1"/>
              <a:t>Team Vs Total Runs</a:t>
            </a:r>
          </a:p>
        </c:rich>
      </c:tx>
      <c:layout>
        <c:manualLayout>
          <c:xMode val="edge"/>
          <c:yMode val="edge"/>
          <c:x val="0.28277777777777779"/>
          <c:y val="4.9905220180810735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458267716535433"/>
          <c:y val="0.20749854184893554"/>
          <c:w val="0.8970839895013123"/>
          <c:h val="0.20401866433362492"/>
        </c:manualLayout>
      </c:layout>
      <c:bar3DChart>
        <c:barDir val="col"/>
        <c:grouping val="clustered"/>
        <c:varyColors val="0"/>
        <c:ser>
          <c:idx val="0"/>
          <c:order val="0"/>
          <c:tx>
            <c:strRef>
              <c:f>'Team Summary'!$K$5</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'Team Summary'!$J$6:$J$14</c:f>
              <c:strCache>
                <c:ptCount val="8"/>
                <c:pt idx="0">
                  <c:v>Mumbai Indians (MI)</c:v>
                </c:pt>
                <c:pt idx="1">
                  <c:v>Chennai Super Kings (CSK)</c:v>
                </c:pt>
                <c:pt idx="2">
                  <c:v>Delhi Capitals (DC)</c:v>
                </c:pt>
                <c:pt idx="3">
                  <c:v>Kolkata Knight Riders (KKR)</c:v>
                </c:pt>
                <c:pt idx="4">
                  <c:v>Punjab Kings (PBKS)</c:v>
                </c:pt>
                <c:pt idx="5">
                  <c:v>Rajasthan Royals (RR)</c:v>
                </c:pt>
                <c:pt idx="6">
                  <c:v>Royal Challengers Bengaluru (RCB)</c:v>
                </c:pt>
                <c:pt idx="7">
                  <c:v>Sunrisers Hyderabad (SRH)</c:v>
                </c:pt>
              </c:strCache>
            </c:strRef>
          </c:cat>
          <c:val>
            <c:numRef>
              <c:f>'Team Summary'!$K$6:$K$14</c:f>
              <c:numCache>
                <c:formatCode>0</c:formatCode>
                <c:ptCount val="8"/>
                <c:pt idx="0">
                  <c:v>2735</c:v>
                </c:pt>
                <c:pt idx="1">
                  <c:v>2869</c:v>
                </c:pt>
                <c:pt idx="2">
                  <c:v>2420</c:v>
                </c:pt>
                <c:pt idx="3">
                  <c:v>2788</c:v>
                </c:pt>
                <c:pt idx="4">
                  <c:v>2458</c:v>
                </c:pt>
                <c:pt idx="5">
                  <c:v>2318</c:v>
                </c:pt>
                <c:pt idx="6">
                  <c:v>2600</c:v>
                </c:pt>
                <c:pt idx="7">
                  <c:v>2756</c:v>
                </c:pt>
              </c:numCache>
            </c:numRef>
          </c:val>
          <c:extLst>
            <c:ext xmlns:c16="http://schemas.microsoft.com/office/drawing/2014/chart" uri="{C3380CC4-5D6E-409C-BE32-E72D297353CC}">
              <c16:uniqueId val="{00000000-82A3-4443-8258-B74EC2CBD399}"/>
            </c:ext>
          </c:extLst>
        </c:ser>
        <c:dLbls>
          <c:showLegendKey val="0"/>
          <c:showVal val="1"/>
          <c:showCatName val="0"/>
          <c:showSerName val="0"/>
          <c:showPercent val="0"/>
          <c:showBubbleSize val="0"/>
        </c:dLbls>
        <c:gapWidth val="150"/>
        <c:shape val="box"/>
        <c:axId val="634322991"/>
        <c:axId val="619911279"/>
        <c:axId val="0"/>
      </c:bar3DChart>
      <c:catAx>
        <c:axId val="6343229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619911279"/>
        <c:crosses val="autoZero"/>
        <c:auto val="1"/>
        <c:lblAlgn val="ctr"/>
        <c:lblOffset val="100"/>
        <c:noMultiLvlLbl val="0"/>
      </c:catAx>
      <c:valAx>
        <c:axId val="61991127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322991"/>
        <c:crosses val="autoZero"/>
        <c:crossBetween val="between"/>
      </c:valAx>
      <c:spPr>
        <a:noFill/>
        <a:ln>
          <a:noFill/>
        </a:ln>
        <a:effectLst/>
      </c:spPr>
    </c:plotArea>
    <c:legend>
      <c:legendPos val="t"/>
      <c:layout>
        <c:manualLayout>
          <c:xMode val="edge"/>
          <c:yMode val="edge"/>
          <c:x val="0.83598884514435701"/>
          <c:y val="6.4210775736366285E-2"/>
          <c:w val="0.14132683041485489"/>
          <c:h val="0.123945978271703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Dashboard.xlsx]Team Summary!PivotTable5</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Win Type</a:t>
            </a:r>
          </a:p>
        </c:rich>
      </c:tx>
      <c:layout>
        <c:manualLayout>
          <c:xMode val="edge"/>
          <c:yMode val="edge"/>
          <c:x val="0.46181984453589392"/>
          <c:y val="2.862797392261451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doughnutChart>
        <c:varyColors val="1"/>
        <c:ser>
          <c:idx val="0"/>
          <c:order val="0"/>
          <c:tx>
            <c:strRef>
              <c:f>'Team Summary'!$N$10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c:spPr>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c:spPr>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multiLvlStrRef>
              <c:f>'Team Summary'!$M$11:$M$35</c:f>
              <c:multiLvlStrCache>
                <c:ptCount val="16"/>
                <c:lvl>
                  <c:pt idx="0">
                    <c:v>Win by Runs</c:v>
                  </c:pt>
                  <c:pt idx="1">
                    <c:v>Win by Wickets</c:v>
                  </c:pt>
                  <c:pt idx="2">
                    <c:v>Win by Runs</c:v>
                  </c:pt>
                  <c:pt idx="3">
                    <c:v>Win by Wickets</c:v>
                  </c:pt>
                  <c:pt idx="4">
                    <c:v>Win by Runs</c:v>
                  </c:pt>
                  <c:pt idx="5">
                    <c:v>Win by Wickets</c:v>
                  </c:pt>
                  <c:pt idx="6">
                    <c:v>Win by Runs</c:v>
                  </c:pt>
                  <c:pt idx="7">
                    <c:v>Win by Wickets</c:v>
                  </c:pt>
                  <c:pt idx="8">
                    <c:v>Win by Runs</c:v>
                  </c:pt>
                  <c:pt idx="9">
                    <c:v>Win by Wickets</c:v>
                  </c:pt>
                  <c:pt idx="10">
                    <c:v>Win by Runs</c:v>
                  </c:pt>
                  <c:pt idx="11">
                    <c:v>Win by Wickets</c:v>
                  </c:pt>
                  <c:pt idx="12">
                    <c:v>Win by Runs</c:v>
                  </c:pt>
                  <c:pt idx="13">
                    <c:v>Win by Wickets</c:v>
                  </c:pt>
                  <c:pt idx="14">
                    <c:v>Win by Runs</c:v>
                  </c:pt>
                  <c:pt idx="15">
                    <c:v>Win by Wickets</c:v>
                  </c:pt>
                </c:lvl>
                <c:lvl>
                  <c:pt idx="0">
                    <c:v>Chennai Super Kings (CSK)</c:v>
                  </c:pt>
                  <c:pt idx="2">
                    <c:v>Delhi Capitals (DC)</c:v>
                  </c:pt>
                  <c:pt idx="4">
                    <c:v>Kolkata Knight Riders (KKR)</c:v>
                  </c:pt>
                  <c:pt idx="6">
                    <c:v>Mumbai Indians (MI)</c:v>
                  </c:pt>
                  <c:pt idx="8">
                    <c:v>Punjab Kings (PBKS)</c:v>
                  </c:pt>
                  <c:pt idx="10">
                    <c:v>Rajasthan Royals (RR)</c:v>
                  </c:pt>
                  <c:pt idx="12">
                    <c:v>Royal Challengers Bengaluru (RCB)</c:v>
                  </c:pt>
                  <c:pt idx="14">
                    <c:v>Sunrisers Hyderabad (SRH)</c:v>
                  </c:pt>
                </c:lvl>
              </c:multiLvlStrCache>
            </c:multiLvlStrRef>
          </c:cat>
          <c:val>
            <c:numRef>
              <c:f>'Team Summary'!$N$11:$N$35</c:f>
              <c:numCache>
                <c:formatCode>General</c:formatCode>
                <c:ptCount val="16"/>
                <c:pt idx="0">
                  <c:v>6</c:v>
                </c:pt>
                <c:pt idx="1">
                  <c:v>2</c:v>
                </c:pt>
                <c:pt idx="2">
                  <c:v>3</c:v>
                </c:pt>
                <c:pt idx="3">
                  <c:v>4</c:v>
                </c:pt>
                <c:pt idx="4">
                  <c:v>4</c:v>
                </c:pt>
                <c:pt idx="5">
                  <c:v>4</c:v>
                </c:pt>
                <c:pt idx="6">
                  <c:v>5</c:v>
                </c:pt>
                <c:pt idx="7">
                  <c:v>3</c:v>
                </c:pt>
                <c:pt idx="8">
                  <c:v>3</c:v>
                </c:pt>
                <c:pt idx="9">
                  <c:v>4</c:v>
                </c:pt>
                <c:pt idx="10">
                  <c:v>4</c:v>
                </c:pt>
                <c:pt idx="11">
                  <c:v>3</c:v>
                </c:pt>
                <c:pt idx="12">
                  <c:v>6</c:v>
                </c:pt>
                <c:pt idx="13">
                  <c:v>1</c:v>
                </c:pt>
                <c:pt idx="14">
                  <c:v>6</c:v>
                </c:pt>
                <c:pt idx="15">
                  <c:v>2</c:v>
                </c:pt>
              </c:numCache>
            </c:numRef>
          </c:val>
          <c:extLst>
            <c:ext xmlns:c16="http://schemas.microsoft.com/office/drawing/2014/chart" uri="{C3380CC4-5D6E-409C-BE32-E72D297353CC}">
              <c16:uniqueId val="{00000020-6FE5-4BBF-9EAE-17500B31A8F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Dashboard.xlsx]Team Summary!PivotTable2</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Team</a:t>
            </a:r>
            <a:r>
              <a:rPr lang="en-US" baseline="0"/>
              <a:t> Vs Wins</a:t>
            </a:r>
            <a:endParaRPr lang="en-US"/>
          </a:p>
        </c:rich>
      </c:tx>
      <c:layout>
        <c:manualLayout>
          <c:xMode val="edge"/>
          <c:yMode val="edge"/>
          <c:x val="0.35841045192626786"/>
          <c:y val="2.06054722611728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8682594116564667"/>
          <c:y val="0.16594487785743531"/>
          <c:w val="0.52854243219597563"/>
          <c:h val="0.69994976777916396"/>
        </c:manualLayout>
      </c:layout>
      <c:bar3DChart>
        <c:barDir val="bar"/>
        <c:grouping val="clustered"/>
        <c:varyColors val="0"/>
        <c:ser>
          <c:idx val="0"/>
          <c:order val="0"/>
          <c:tx>
            <c:strRef>
              <c:f>'Team Summary'!$B$16</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 Summary'!$A$17:$A$26</c:f>
              <c:strCache>
                <c:ptCount val="9"/>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pt idx="8">
                  <c:v>(blank)</c:v>
                </c:pt>
              </c:strCache>
            </c:strRef>
          </c:cat>
          <c:val>
            <c:numRef>
              <c:f>'Team Summary'!$B$17:$B$26</c:f>
              <c:numCache>
                <c:formatCode>General</c:formatCode>
                <c:ptCount val="9"/>
                <c:pt idx="0">
                  <c:v>5</c:v>
                </c:pt>
                <c:pt idx="1">
                  <c:v>2</c:v>
                </c:pt>
                <c:pt idx="2">
                  <c:v>4</c:v>
                </c:pt>
                <c:pt idx="3">
                  <c:v>4</c:v>
                </c:pt>
                <c:pt idx="4">
                  <c:v>2</c:v>
                </c:pt>
                <c:pt idx="5">
                  <c:v>4</c:v>
                </c:pt>
                <c:pt idx="6">
                  <c:v>4</c:v>
                </c:pt>
                <c:pt idx="7">
                  <c:v>5</c:v>
                </c:pt>
                <c:pt idx="8">
                  <c:v>0</c:v>
                </c:pt>
              </c:numCache>
            </c:numRef>
          </c:val>
          <c:extLst>
            <c:ext xmlns:c16="http://schemas.microsoft.com/office/drawing/2014/chart" uri="{C3380CC4-5D6E-409C-BE32-E72D297353CC}">
              <c16:uniqueId val="{00000000-ADBC-43F9-ABA5-BB9E9FCB6165}"/>
            </c:ext>
          </c:extLst>
        </c:ser>
        <c:dLbls>
          <c:showLegendKey val="0"/>
          <c:showVal val="1"/>
          <c:showCatName val="0"/>
          <c:showSerName val="0"/>
          <c:showPercent val="0"/>
          <c:showBubbleSize val="0"/>
        </c:dLbls>
        <c:gapWidth val="150"/>
        <c:shape val="box"/>
        <c:axId val="408364287"/>
        <c:axId val="406757855"/>
        <c:axId val="0"/>
      </c:bar3DChart>
      <c:catAx>
        <c:axId val="40836428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757855"/>
        <c:crosses val="autoZero"/>
        <c:auto val="1"/>
        <c:lblAlgn val="ctr"/>
        <c:lblOffset val="100"/>
        <c:noMultiLvlLbl val="0"/>
      </c:catAx>
      <c:valAx>
        <c:axId val="406757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364287"/>
        <c:crosses val="autoZero"/>
        <c:crossBetween val="between"/>
      </c:valAx>
      <c:spPr>
        <a:noFill/>
        <a:ln>
          <a:noFill/>
        </a:ln>
        <a:effectLst/>
      </c:spPr>
    </c:plotArea>
    <c:legend>
      <c:legendPos val="b"/>
      <c:layout>
        <c:manualLayout>
          <c:xMode val="edge"/>
          <c:yMode val="edge"/>
          <c:x val="0.86148463661869834"/>
          <c:y val="1.9691331391795214E-2"/>
          <c:w val="8.1628427912028234E-2"/>
          <c:h val="6.706665947578470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Dashboard.xlsx]Team Summary!PivotTable4</c:name>
    <c:fmtId val="4"/>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b="1"/>
              <a:t>Team Vs Total Runs</a:t>
            </a:r>
          </a:p>
        </c:rich>
      </c:tx>
      <c:layout>
        <c:manualLayout>
          <c:xMode val="edge"/>
          <c:yMode val="edge"/>
          <c:x val="0.33357599168028529"/>
          <c:y val="3.7231087558922051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2"/>
          </a:solidFill>
          <a:ln>
            <a:noFill/>
          </a:ln>
          <a:effectLst/>
          <a:sp3d/>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458267716535433"/>
          <c:y val="0.20749854184893554"/>
          <c:w val="0.8970839895013123"/>
          <c:h val="0.41564665943703144"/>
        </c:manualLayout>
      </c:layout>
      <c:bar3DChart>
        <c:barDir val="col"/>
        <c:grouping val="clustered"/>
        <c:varyColors val="0"/>
        <c:ser>
          <c:idx val="0"/>
          <c:order val="0"/>
          <c:tx>
            <c:strRef>
              <c:f>'Team Summary'!$K$5</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'Team Summary'!$J$6:$J$14</c:f>
              <c:strCache>
                <c:ptCount val="8"/>
                <c:pt idx="0">
                  <c:v>Mumbai Indians (MI)</c:v>
                </c:pt>
                <c:pt idx="1">
                  <c:v>Chennai Super Kings (CSK)</c:v>
                </c:pt>
                <c:pt idx="2">
                  <c:v>Delhi Capitals (DC)</c:v>
                </c:pt>
                <c:pt idx="3">
                  <c:v>Kolkata Knight Riders (KKR)</c:v>
                </c:pt>
                <c:pt idx="4">
                  <c:v>Punjab Kings (PBKS)</c:v>
                </c:pt>
                <c:pt idx="5">
                  <c:v>Rajasthan Royals (RR)</c:v>
                </c:pt>
                <c:pt idx="6">
                  <c:v>Royal Challengers Bengaluru (RCB)</c:v>
                </c:pt>
                <c:pt idx="7">
                  <c:v>Sunrisers Hyderabad (SRH)</c:v>
                </c:pt>
              </c:strCache>
            </c:strRef>
          </c:cat>
          <c:val>
            <c:numRef>
              <c:f>'Team Summary'!$K$6:$K$14</c:f>
              <c:numCache>
                <c:formatCode>0</c:formatCode>
                <c:ptCount val="8"/>
                <c:pt idx="0">
                  <c:v>2735</c:v>
                </c:pt>
                <c:pt idx="1">
                  <c:v>2869</c:v>
                </c:pt>
                <c:pt idx="2">
                  <c:v>2420</c:v>
                </c:pt>
                <c:pt idx="3">
                  <c:v>2788</c:v>
                </c:pt>
                <c:pt idx="4">
                  <c:v>2458</c:v>
                </c:pt>
                <c:pt idx="5">
                  <c:v>2318</c:v>
                </c:pt>
                <c:pt idx="6">
                  <c:v>2600</c:v>
                </c:pt>
                <c:pt idx="7">
                  <c:v>2756</c:v>
                </c:pt>
              </c:numCache>
            </c:numRef>
          </c:val>
          <c:extLst>
            <c:ext xmlns:c16="http://schemas.microsoft.com/office/drawing/2014/chart" uri="{C3380CC4-5D6E-409C-BE32-E72D297353CC}">
              <c16:uniqueId val="{00000000-6327-478A-9C72-2A93F98E5701}"/>
            </c:ext>
          </c:extLst>
        </c:ser>
        <c:dLbls>
          <c:showLegendKey val="0"/>
          <c:showVal val="1"/>
          <c:showCatName val="0"/>
          <c:showSerName val="0"/>
          <c:showPercent val="0"/>
          <c:showBubbleSize val="0"/>
        </c:dLbls>
        <c:gapWidth val="150"/>
        <c:shape val="box"/>
        <c:axId val="634322991"/>
        <c:axId val="619911279"/>
        <c:axId val="0"/>
      </c:bar3DChart>
      <c:catAx>
        <c:axId val="6343229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619911279"/>
        <c:crosses val="autoZero"/>
        <c:auto val="1"/>
        <c:lblAlgn val="ctr"/>
        <c:lblOffset val="100"/>
        <c:noMultiLvlLbl val="0"/>
      </c:catAx>
      <c:valAx>
        <c:axId val="61991127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322991"/>
        <c:crosses val="autoZero"/>
        <c:crossBetween val="between"/>
      </c:valAx>
      <c:spPr>
        <a:noFill/>
        <a:ln>
          <a:noFill/>
        </a:ln>
        <a:effectLst/>
      </c:spPr>
    </c:plotArea>
    <c:legend>
      <c:legendPos val="t"/>
      <c:layout>
        <c:manualLayout>
          <c:xMode val="edge"/>
          <c:yMode val="edge"/>
          <c:x val="0.83598884514435701"/>
          <c:y val="6.4210775736366285E-2"/>
          <c:w val="9.075620739100905E-2"/>
          <c:h val="0.100256644540592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Dashboard.xlsx]Team Summary!PivotTable5</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Win Type</a:t>
            </a:r>
          </a:p>
        </c:rich>
      </c:tx>
      <c:layout>
        <c:manualLayout>
          <c:xMode val="edge"/>
          <c:yMode val="edge"/>
          <c:x val="0.46181984453589392"/>
          <c:y val="2.862797392261451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8.3335429716652806E-3"/>
          <c:y val="0.21122203090707031"/>
          <c:w val="0.63455783083025175"/>
          <c:h val="0.65066863570800593"/>
        </c:manualLayout>
      </c:layout>
      <c:doughnutChart>
        <c:varyColors val="1"/>
        <c:ser>
          <c:idx val="0"/>
          <c:order val="0"/>
          <c:tx>
            <c:strRef>
              <c:f>'Team Summary'!$N$10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c:spPr>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c:spPr>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multiLvlStrRef>
              <c:f>'Team Summary'!$M$11:$M$35</c:f>
              <c:multiLvlStrCache>
                <c:ptCount val="16"/>
                <c:lvl>
                  <c:pt idx="0">
                    <c:v>Win by Runs</c:v>
                  </c:pt>
                  <c:pt idx="1">
                    <c:v>Win by Wickets</c:v>
                  </c:pt>
                  <c:pt idx="2">
                    <c:v>Win by Runs</c:v>
                  </c:pt>
                  <c:pt idx="3">
                    <c:v>Win by Wickets</c:v>
                  </c:pt>
                  <c:pt idx="4">
                    <c:v>Win by Runs</c:v>
                  </c:pt>
                  <c:pt idx="5">
                    <c:v>Win by Wickets</c:v>
                  </c:pt>
                  <c:pt idx="6">
                    <c:v>Win by Runs</c:v>
                  </c:pt>
                  <c:pt idx="7">
                    <c:v>Win by Wickets</c:v>
                  </c:pt>
                  <c:pt idx="8">
                    <c:v>Win by Runs</c:v>
                  </c:pt>
                  <c:pt idx="9">
                    <c:v>Win by Wickets</c:v>
                  </c:pt>
                  <c:pt idx="10">
                    <c:v>Win by Runs</c:v>
                  </c:pt>
                  <c:pt idx="11">
                    <c:v>Win by Wickets</c:v>
                  </c:pt>
                  <c:pt idx="12">
                    <c:v>Win by Runs</c:v>
                  </c:pt>
                  <c:pt idx="13">
                    <c:v>Win by Wickets</c:v>
                  </c:pt>
                  <c:pt idx="14">
                    <c:v>Win by Runs</c:v>
                  </c:pt>
                  <c:pt idx="15">
                    <c:v>Win by Wickets</c:v>
                  </c:pt>
                </c:lvl>
                <c:lvl>
                  <c:pt idx="0">
                    <c:v>Chennai Super Kings (CSK)</c:v>
                  </c:pt>
                  <c:pt idx="2">
                    <c:v>Delhi Capitals (DC)</c:v>
                  </c:pt>
                  <c:pt idx="4">
                    <c:v>Kolkata Knight Riders (KKR)</c:v>
                  </c:pt>
                  <c:pt idx="6">
                    <c:v>Mumbai Indians (MI)</c:v>
                  </c:pt>
                  <c:pt idx="8">
                    <c:v>Punjab Kings (PBKS)</c:v>
                  </c:pt>
                  <c:pt idx="10">
                    <c:v>Rajasthan Royals (RR)</c:v>
                  </c:pt>
                  <c:pt idx="12">
                    <c:v>Royal Challengers Bengaluru (RCB)</c:v>
                  </c:pt>
                  <c:pt idx="14">
                    <c:v>Sunrisers Hyderabad (SRH)</c:v>
                  </c:pt>
                </c:lvl>
              </c:multiLvlStrCache>
            </c:multiLvlStrRef>
          </c:cat>
          <c:val>
            <c:numRef>
              <c:f>'Team Summary'!$N$11:$N$35</c:f>
              <c:numCache>
                <c:formatCode>General</c:formatCode>
                <c:ptCount val="16"/>
                <c:pt idx="0">
                  <c:v>6</c:v>
                </c:pt>
                <c:pt idx="1">
                  <c:v>2</c:v>
                </c:pt>
                <c:pt idx="2">
                  <c:v>3</c:v>
                </c:pt>
                <c:pt idx="3">
                  <c:v>4</c:v>
                </c:pt>
                <c:pt idx="4">
                  <c:v>4</c:v>
                </c:pt>
                <c:pt idx="5">
                  <c:v>4</c:v>
                </c:pt>
                <c:pt idx="6">
                  <c:v>5</c:v>
                </c:pt>
                <c:pt idx="7">
                  <c:v>3</c:v>
                </c:pt>
                <c:pt idx="8">
                  <c:v>3</c:v>
                </c:pt>
                <c:pt idx="9">
                  <c:v>4</c:v>
                </c:pt>
                <c:pt idx="10">
                  <c:v>4</c:v>
                </c:pt>
                <c:pt idx="11">
                  <c:v>3</c:v>
                </c:pt>
                <c:pt idx="12">
                  <c:v>6</c:v>
                </c:pt>
                <c:pt idx="13">
                  <c:v>1</c:v>
                </c:pt>
                <c:pt idx="14">
                  <c:v>6</c:v>
                </c:pt>
                <c:pt idx="15">
                  <c:v>2</c:v>
                </c:pt>
              </c:numCache>
            </c:numRef>
          </c:val>
          <c:extLst>
            <c:ext xmlns:c16="http://schemas.microsoft.com/office/drawing/2014/chart" uri="{C3380CC4-5D6E-409C-BE32-E72D297353CC}">
              <c16:uniqueId val="{00000020-2C3F-4F8E-B188-FBBE745BEDD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2</xdr:col>
      <xdr:colOff>502920</xdr:colOff>
      <xdr:row>13</xdr:row>
      <xdr:rowOff>72390</xdr:rowOff>
    </xdr:from>
    <xdr:to>
      <xdr:col>7</xdr:col>
      <xdr:colOff>91440</xdr:colOff>
      <xdr:row>28</xdr:row>
      <xdr:rowOff>129540</xdr:rowOff>
    </xdr:to>
    <xdr:graphicFrame macro="">
      <xdr:nvGraphicFramePr>
        <xdr:cNvPr id="2" name="Chart 1">
          <a:extLst>
            <a:ext uri="{FF2B5EF4-FFF2-40B4-BE49-F238E27FC236}">
              <a16:creationId xmlns:a16="http://schemas.microsoft.com/office/drawing/2014/main" id="{221D63CF-4ABC-4874-A0F5-A1937C0F5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236220</xdr:colOff>
      <xdr:row>15</xdr:row>
      <xdr:rowOff>175260</xdr:rowOff>
    </xdr:from>
    <xdr:to>
      <xdr:col>10</xdr:col>
      <xdr:colOff>76200</xdr:colOff>
      <xdr:row>25</xdr:row>
      <xdr:rowOff>152400</xdr:rowOff>
    </xdr:to>
    <xdr:graphicFrame macro="">
      <xdr:nvGraphicFramePr>
        <xdr:cNvPr id="3" name="Chart 2">
          <a:extLst>
            <a:ext uri="{FF2B5EF4-FFF2-40B4-BE49-F238E27FC236}">
              <a16:creationId xmlns:a16="http://schemas.microsoft.com/office/drawing/2014/main" id="{F7660B40-3528-4757-A38E-5CFB712855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160020</xdr:colOff>
      <xdr:row>35</xdr:row>
      <xdr:rowOff>99060</xdr:rowOff>
    </xdr:from>
    <xdr:to>
      <xdr:col>12</xdr:col>
      <xdr:colOff>579120</xdr:colOff>
      <xdr:row>66</xdr:row>
      <xdr:rowOff>99060</xdr:rowOff>
    </xdr:to>
    <xdr:graphicFrame macro="">
      <xdr:nvGraphicFramePr>
        <xdr:cNvPr id="6" name="Chart 5">
          <a:extLst>
            <a:ext uri="{FF2B5EF4-FFF2-40B4-BE49-F238E27FC236}">
              <a16:creationId xmlns:a16="http://schemas.microsoft.com/office/drawing/2014/main" id="{F3855CE9-A307-4BF8-8D20-1AE75D3C42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251461</xdr:colOff>
      <xdr:row>5</xdr:row>
      <xdr:rowOff>175261</xdr:rowOff>
    </xdr:from>
    <xdr:to>
      <xdr:col>8</xdr:col>
      <xdr:colOff>144780</xdr:colOff>
      <xdr:row>18</xdr:row>
      <xdr:rowOff>22860</xdr:rowOff>
    </xdr:to>
    <xdr:graphicFrame macro="">
      <xdr:nvGraphicFramePr>
        <xdr:cNvPr id="2" name="Chart 1">
          <a:extLst>
            <a:ext uri="{FF2B5EF4-FFF2-40B4-BE49-F238E27FC236}">
              <a16:creationId xmlns:a16="http://schemas.microsoft.com/office/drawing/2014/main" id="{219B1F86-322A-4DDE-A36E-C090B4F265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236220</xdr:colOff>
      <xdr:row>18</xdr:row>
      <xdr:rowOff>144780</xdr:rowOff>
    </xdr:from>
    <xdr:to>
      <xdr:col>8</xdr:col>
      <xdr:colOff>129540</xdr:colOff>
      <xdr:row>31</xdr:row>
      <xdr:rowOff>0</xdr:rowOff>
    </xdr:to>
    <xdr:graphicFrame macro="">
      <xdr:nvGraphicFramePr>
        <xdr:cNvPr id="3" name="Chart 2">
          <a:extLst>
            <a:ext uri="{FF2B5EF4-FFF2-40B4-BE49-F238E27FC236}">
              <a16:creationId xmlns:a16="http://schemas.microsoft.com/office/drawing/2014/main" id="{57E31393-D41C-4121-9D0E-F5D17A5FB3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7620</xdr:colOff>
      <xdr:row>6</xdr:row>
      <xdr:rowOff>144780</xdr:rowOff>
    </xdr:from>
    <xdr:to>
      <xdr:col>16</xdr:col>
      <xdr:colOff>510540</xdr:colOff>
      <xdr:row>29</xdr:row>
      <xdr:rowOff>175260</xdr:rowOff>
    </xdr:to>
    <xdr:graphicFrame macro="">
      <xdr:nvGraphicFramePr>
        <xdr:cNvPr id="4" name="Chart 3">
          <a:extLst>
            <a:ext uri="{FF2B5EF4-FFF2-40B4-BE49-F238E27FC236}">
              <a16:creationId xmlns:a16="http://schemas.microsoft.com/office/drawing/2014/main" id="{2FAE2081-A1E1-4EE5-9F1C-4B84B0131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335280</xdr:colOff>
      <xdr:row>2</xdr:row>
      <xdr:rowOff>22860</xdr:rowOff>
    </xdr:from>
    <xdr:to>
      <xdr:col>22</xdr:col>
      <xdr:colOff>312420</xdr:colOff>
      <xdr:row>15</xdr:row>
      <xdr:rowOff>129540</xdr:rowOff>
    </xdr:to>
    <mc:AlternateContent xmlns:mc="http://schemas.openxmlformats.org/markup-compatibility/2006" xmlns:a14="http://schemas.microsoft.com/office/drawing/2010/main">
      <mc:Choice Requires="a14">
        <xdr:graphicFrame macro="">
          <xdr:nvGraphicFramePr>
            <xdr:cNvPr id="6" name="Team_Name">
              <a:extLst>
                <a:ext uri="{FF2B5EF4-FFF2-40B4-BE49-F238E27FC236}">
                  <a16:creationId xmlns:a16="http://schemas.microsoft.com/office/drawing/2014/main" id="{211104CA-02B2-46A4-BC63-98AD9297C150}"/>
                </a:ext>
              </a:extLst>
            </xdr:cNvPr>
            <xdr:cNvGraphicFramePr/>
          </xdr:nvGraphicFramePr>
          <xdr:xfrm>
            <a:off x="0" y="0"/>
            <a:ext cx="0" cy="0"/>
          </xdr:xfrm>
          <a:graphic>
            <a:graphicData uri="http://schemas.microsoft.com/office/drawing/2010/slicer">
              <sle:slicer xmlns:sle="http://schemas.microsoft.com/office/drawing/2010/slicer" name="Team_Name"/>
            </a:graphicData>
          </a:graphic>
        </xdr:graphicFrame>
      </mc:Choice>
      <mc:Fallback xmlns="">
        <xdr:sp macro="" textlink="">
          <xdr:nvSpPr>
            <xdr:cNvPr id="0" name=""/>
            <xdr:cNvSpPr>
              <a:spLocks noTextEdit="1"/>
            </xdr:cNvSpPr>
          </xdr:nvSpPr>
          <xdr:spPr>
            <a:xfrm>
              <a:off x="11308080" y="388620"/>
              <a:ext cx="2415540" cy="2484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594360</xdr:colOff>
      <xdr:row>17</xdr:row>
      <xdr:rowOff>0</xdr:rowOff>
    </xdr:from>
    <xdr:to>
      <xdr:col>20</xdr:col>
      <xdr:colOff>594360</xdr:colOff>
      <xdr:row>30</xdr:row>
      <xdr:rowOff>99060</xdr:rowOff>
    </xdr:to>
    <mc:AlternateContent xmlns:mc="http://schemas.openxmlformats.org/markup-compatibility/2006" xmlns:a14="http://schemas.microsoft.com/office/drawing/2010/main">
      <mc:Choice Requires="a14">
        <xdr:graphicFrame macro="">
          <xdr:nvGraphicFramePr>
            <xdr:cNvPr id="7" name="Venue_Name">
              <a:extLst>
                <a:ext uri="{FF2B5EF4-FFF2-40B4-BE49-F238E27FC236}">
                  <a16:creationId xmlns:a16="http://schemas.microsoft.com/office/drawing/2014/main" id="{81A6D349-F865-4B55-86FB-818E0E229EC8}"/>
                </a:ext>
              </a:extLst>
            </xdr:cNvPr>
            <xdr:cNvGraphicFramePr/>
          </xdr:nvGraphicFramePr>
          <xdr:xfrm>
            <a:off x="0" y="0"/>
            <a:ext cx="0" cy="0"/>
          </xdr:xfrm>
          <a:graphic>
            <a:graphicData uri="http://schemas.microsoft.com/office/drawing/2010/slicer">
              <sle:slicer xmlns:sle="http://schemas.microsoft.com/office/drawing/2010/slicer" name="Venue_Name"/>
            </a:graphicData>
          </a:graphic>
        </xdr:graphicFrame>
      </mc:Choice>
      <mc:Fallback xmlns="">
        <xdr:sp macro="" textlink="">
          <xdr:nvSpPr>
            <xdr:cNvPr id="0" name=""/>
            <xdr:cNvSpPr>
              <a:spLocks noTextEdit="1"/>
            </xdr:cNvSpPr>
          </xdr:nvSpPr>
          <xdr:spPr>
            <a:xfrm>
              <a:off x="10957560" y="3108960"/>
              <a:ext cx="1828800" cy="2476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556260</xdr:colOff>
      <xdr:row>0</xdr:row>
      <xdr:rowOff>22860</xdr:rowOff>
    </xdr:from>
    <xdr:to>
      <xdr:col>3</xdr:col>
      <xdr:colOff>266700</xdr:colOff>
      <xdr:row>5</xdr:row>
      <xdr:rowOff>137160</xdr:rowOff>
    </xdr:to>
    <xdr:sp macro="" textlink="">
      <xdr:nvSpPr>
        <xdr:cNvPr id="5" name="Rectangle 4">
          <a:extLst>
            <a:ext uri="{FF2B5EF4-FFF2-40B4-BE49-F238E27FC236}">
              <a16:creationId xmlns:a16="http://schemas.microsoft.com/office/drawing/2014/main" id="{4C291D81-E96D-42B6-A8BB-32310B9160D1}"/>
            </a:ext>
          </a:extLst>
        </xdr:cNvPr>
        <xdr:cNvSpPr/>
      </xdr:nvSpPr>
      <xdr:spPr>
        <a:xfrm>
          <a:off x="556260" y="22860"/>
          <a:ext cx="1539240" cy="1028700"/>
        </a:xfrm>
        <a:prstGeom prst="rect">
          <a:avLst/>
        </a:prstGeom>
        <a:blipFill dpi="0" rotWithShape="1">
          <a:blip xmlns:r="http://schemas.openxmlformats.org/officeDocument/2006/relationships" r:embed="rId4">
            <a:extLst>
              <a:ext uri="{28A0092B-C50C-407E-A947-70E740481C1C}">
                <a14:useLocalDpi xmlns:a14="http://schemas.microsoft.com/office/drawing/2010/main" val="0"/>
              </a:ext>
            </a:extLst>
          </a:blip>
          <a:srcRect/>
          <a:stretch>
            <a:fillRect/>
          </a:stretch>
        </a:blip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3090</xdr:colOff>
      <xdr:row>1</xdr:row>
      <xdr:rowOff>7620</xdr:rowOff>
    </xdr:from>
    <xdr:to>
      <xdr:col>6</xdr:col>
      <xdr:colOff>118549</xdr:colOff>
      <xdr:row>3</xdr:row>
      <xdr:rowOff>78157</xdr:rowOff>
    </xdr:to>
    <xdr:sp macro="" textlink="">
      <xdr:nvSpPr>
        <xdr:cNvPr id="15" name="Rectangle: Top Corners Rounded 14">
          <a:extLst>
            <a:ext uri="{FF2B5EF4-FFF2-40B4-BE49-F238E27FC236}">
              <a16:creationId xmlns:a16="http://schemas.microsoft.com/office/drawing/2014/main" id="{64FD527C-EBBF-4B04-AAA5-AE1DB8A7CEA4}"/>
            </a:ext>
          </a:extLst>
        </xdr:cNvPr>
        <xdr:cNvSpPr/>
      </xdr:nvSpPr>
      <xdr:spPr>
        <a:xfrm>
          <a:off x="2441490" y="190500"/>
          <a:ext cx="1334659" cy="436297"/>
        </a:xfrm>
        <a:prstGeom prst="round2SameRect">
          <a:avLst>
            <a:gd name="adj1" fmla="val 8000"/>
            <a:gd name="adj2" fmla="val 0"/>
          </a:avLst>
        </a:prstGeom>
        <a:solidFill>
          <a:schemeClr val="accent1">
            <a:lumMod val="50000"/>
            <a:alpha val="90000"/>
          </a:schemeClr>
        </a:solid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anchor="ctr"/>
        <a:lstStyle/>
        <a:p>
          <a:pPr algn="ctr"/>
          <a:r>
            <a:rPr lang="en-IN" sz="1400" b="1">
              <a:solidFill>
                <a:schemeClr val="bg1"/>
              </a:solidFill>
              <a:latin typeface="Arial" panose="020B0604020202020204" pitchFamily="34" charset="0"/>
              <a:cs typeface="Arial" panose="020B0604020202020204" pitchFamily="34" charset="0"/>
            </a:rPr>
            <a:t>Total Match</a:t>
          </a:r>
          <a:endParaRPr lang="en-IN" b="1">
            <a:solidFill>
              <a:schemeClr val="bg1"/>
            </a:solidFill>
            <a:latin typeface="Arial" panose="020B0604020202020204" pitchFamily="34" charset="0"/>
            <a:cs typeface="Arial" panose="020B0604020202020204" pitchFamily="34" charset="0"/>
          </a:endParaRPr>
        </a:p>
      </xdr:txBody>
    </xdr:sp>
    <xdr:clientData/>
  </xdr:twoCellAnchor>
  <xdr:twoCellAnchor>
    <xdr:from>
      <xdr:col>4</xdr:col>
      <xdr:colOff>3090</xdr:colOff>
      <xdr:row>3</xdr:row>
      <xdr:rowOff>78157</xdr:rowOff>
    </xdr:from>
    <xdr:to>
      <xdr:col>6</xdr:col>
      <xdr:colOff>118549</xdr:colOff>
      <xdr:row>5</xdr:row>
      <xdr:rowOff>22860</xdr:rowOff>
    </xdr:to>
    <xdr:sp macro="" textlink="'Team Summary'!Q9">
      <xdr:nvSpPr>
        <xdr:cNvPr id="16" name="Freeform: Shape 15">
          <a:extLst>
            <a:ext uri="{FF2B5EF4-FFF2-40B4-BE49-F238E27FC236}">
              <a16:creationId xmlns:a16="http://schemas.microsoft.com/office/drawing/2014/main" id="{4E91ACF4-D6F5-42BA-8F2B-9611A2610992}"/>
            </a:ext>
          </a:extLst>
        </xdr:cNvPr>
        <xdr:cNvSpPr/>
      </xdr:nvSpPr>
      <xdr:spPr>
        <a:xfrm>
          <a:off x="2441490" y="626797"/>
          <a:ext cx="1334659" cy="310463"/>
        </a:xfrm>
        <a:custGeom>
          <a:avLst/>
          <a:gdLst>
            <a:gd name="connsiteX0" fmla="*/ 0 w 1334659"/>
            <a:gd name="connsiteY0" fmla="*/ 0 h 428406"/>
            <a:gd name="connsiteX1" fmla="*/ 1334659 w 1334659"/>
            <a:gd name="connsiteY1" fmla="*/ 0 h 428406"/>
            <a:gd name="connsiteX2" fmla="*/ 1334659 w 1334659"/>
            <a:gd name="connsiteY2" fmla="*/ 428406 h 428406"/>
            <a:gd name="connsiteX3" fmla="*/ 0 w 1334659"/>
            <a:gd name="connsiteY3" fmla="*/ 428406 h 428406"/>
            <a:gd name="connsiteX4" fmla="*/ 0 w 1334659"/>
            <a:gd name="connsiteY4" fmla="*/ 0 h 42840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334659" h="428406">
              <a:moveTo>
                <a:pt x="0" y="0"/>
              </a:moveTo>
              <a:lnTo>
                <a:pt x="1334659" y="0"/>
              </a:lnTo>
              <a:lnTo>
                <a:pt x="1334659" y="428406"/>
              </a:lnTo>
              <a:lnTo>
                <a:pt x="0" y="428406"/>
              </a:lnTo>
              <a:lnTo>
                <a:pt x="0" y="0"/>
              </a:lnTo>
              <a:close/>
            </a:path>
          </a:pathLst>
        </a:custGeom>
        <a:solidFill>
          <a:schemeClr val="tx1">
            <a:lumMod val="65000"/>
            <a:lumOff val="35000"/>
          </a:schemeClr>
        </a:solidFill>
      </xdr:spPr>
      <xdr:style>
        <a:lnRef idx="2">
          <a:schemeClr val="accen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02870" tIns="0" rIns="429048" bIns="0" numCol="1" spcCol="1270" anchor="ctr" anchorCtr="0">
          <a:noAutofit/>
        </a:bodyPr>
        <a:lstStyle/>
        <a:p>
          <a:pPr marL="0" lvl="0" indent="0" algn="ctr" defTabSz="1200150">
            <a:lnSpc>
              <a:spcPct val="90000"/>
            </a:lnSpc>
            <a:spcBef>
              <a:spcPct val="0"/>
            </a:spcBef>
            <a:spcAft>
              <a:spcPct val="35000"/>
            </a:spcAft>
            <a:buNone/>
          </a:pPr>
          <a:fld id="{BF0444AF-0877-4AA2-AF10-8D1F126D40BF}" type="TxLink">
            <a:rPr lang="en-US" sz="1400" b="1" i="0" u="none" strike="noStrike" kern="1200">
              <a:solidFill>
                <a:schemeClr val="bg1"/>
              </a:solidFill>
              <a:latin typeface="Arial" panose="020B0604020202020204" pitchFamily="34" charset="0"/>
              <a:ea typeface="Calibri"/>
              <a:cs typeface="Arial" panose="020B0604020202020204" pitchFamily="34" charset="0"/>
            </a:rPr>
            <a:t>60</a:t>
          </a:fld>
          <a:endParaRPr lang="en-IN" sz="2700" b="1" kern="1200">
            <a:solidFill>
              <a:schemeClr val="bg1"/>
            </a:solidFill>
            <a:latin typeface="Arial" panose="020B0604020202020204" pitchFamily="34" charset="0"/>
            <a:cs typeface="Arial" panose="020B0604020202020204" pitchFamily="34" charset="0"/>
          </a:endParaRPr>
        </a:p>
      </xdr:txBody>
    </xdr:sp>
    <xdr:clientData/>
  </xdr:twoCellAnchor>
  <xdr:twoCellAnchor>
    <xdr:from>
      <xdr:col>5</xdr:col>
      <xdr:colOff>371146</xdr:colOff>
      <xdr:row>3</xdr:row>
      <xdr:rowOff>85246</xdr:rowOff>
    </xdr:from>
    <xdr:to>
      <xdr:col>6</xdr:col>
      <xdr:colOff>337546</xdr:colOff>
      <xdr:row>6</xdr:row>
      <xdr:rowOff>76606</xdr:rowOff>
    </xdr:to>
    <xdr:sp macro="" textlink="'Team Summary'!R9">
      <xdr:nvSpPr>
        <xdr:cNvPr id="17" name="Oval 16">
          <a:extLst>
            <a:ext uri="{FF2B5EF4-FFF2-40B4-BE49-F238E27FC236}">
              <a16:creationId xmlns:a16="http://schemas.microsoft.com/office/drawing/2014/main" id="{EC587445-3A7A-4371-97B7-E45AA84CBB7E}"/>
            </a:ext>
          </a:extLst>
        </xdr:cNvPr>
        <xdr:cNvSpPr/>
      </xdr:nvSpPr>
      <xdr:spPr>
        <a:xfrm>
          <a:off x="3419146" y="633886"/>
          <a:ext cx="576000" cy="540000"/>
        </a:xfrm>
        <a:prstGeom prst="ellipse">
          <a:avLst/>
        </a:prstGeom>
        <a:solidFill>
          <a:schemeClr val="tx1">
            <a:lumMod val="65000"/>
            <a:lumOff val="35000"/>
            <a:alpha val="90000"/>
          </a:schemeClr>
        </a:solidFill>
      </xdr:spPr>
      <xdr:style>
        <a:lnRef idx="2">
          <a:schemeClr val="accent1">
            <a:alpha val="90000"/>
            <a:tint val="40000"/>
            <a:hueOff val="0"/>
            <a:satOff val="0"/>
            <a:lumOff val="0"/>
            <a:alphaOff val="0"/>
          </a:schemeClr>
        </a:lnRef>
        <a:fillRef idx="1">
          <a:schemeClr val="accent1">
            <a:alpha val="90000"/>
            <a:tint val="40000"/>
            <a:hueOff val="0"/>
            <a:satOff val="0"/>
            <a:lumOff val="0"/>
            <a:alphaOff val="0"/>
          </a:schemeClr>
        </a:fillRef>
        <a:effectRef idx="0">
          <a:schemeClr val="accent1">
            <a:alpha val="90000"/>
            <a:tint val="40000"/>
            <a:hueOff val="0"/>
            <a:satOff val="0"/>
            <a:lumOff val="0"/>
            <a:alphaOff val="0"/>
          </a:schemeClr>
        </a:effectRef>
        <a:fontRef idx="minor">
          <a:schemeClr val="dk1">
            <a:hueOff val="0"/>
            <a:satOff val="0"/>
            <a:lumOff val="0"/>
            <a:alphaOff val="0"/>
          </a:schemeClr>
        </a:fontRef>
      </xdr:style>
      <xdr:txBody>
        <a:bodyPr anchor="ctr"/>
        <a:lstStyle/>
        <a:p>
          <a:pPr algn="ctr"/>
          <a:fld id="{7CD831F9-AD3F-4D7A-92D3-EEE6105A7BD1}" type="TxLink">
            <a:rPr lang="en-US" sz="1000" b="1" i="0" u="none" strike="noStrike">
              <a:solidFill>
                <a:schemeClr val="bg1"/>
              </a:solidFill>
              <a:latin typeface="Arial" panose="020B0604020202020204" pitchFamily="34" charset="0"/>
              <a:ea typeface="Calibri"/>
              <a:cs typeface="Arial" panose="020B0604020202020204" pitchFamily="34" charset="0"/>
            </a:rPr>
            <a:pPr algn="ctr"/>
            <a:t>100%</a:t>
          </a:fld>
          <a:endParaRPr lang="en-IN" sz="1000" b="1">
            <a:solidFill>
              <a:schemeClr val="bg1"/>
            </a:solidFill>
            <a:latin typeface="Arial" panose="020B0604020202020204" pitchFamily="34" charset="0"/>
            <a:cs typeface="Arial" panose="020B0604020202020204" pitchFamily="34" charset="0"/>
          </a:endParaRPr>
        </a:p>
      </xdr:txBody>
    </xdr:sp>
    <xdr:clientData/>
  </xdr:twoCellAnchor>
  <xdr:twoCellAnchor>
    <xdr:from>
      <xdr:col>7</xdr:col>
      <xdr:colOff>15240</xdr:colOff>
      <xdr:row>0</xdr:row>
      <xdr:rowOff>175260</xdr:rowOff>
    </xdr:from>
    <xdr:to>
      <xdr:col>9</xdr:col>
      <xdr:colOff>130699</xdr:colOff>
      <xdr:row>3</xdr:row>
      <xdr:rowOff>62917</xdr:rowOff>
    </xdr:to>
    <xdr:sp macro="" textlink="">
      <xdr:nvSpPr>
        <xdr:cNvPr id="25" name="Rectangle: Top Corners Rounded 24">
          <a:extLst>
            <a:ext uri="{FF2B5EF4-FFF2-40B4-BE49-F238E27FC236}">
              <a16:creationId xmlns:a16="http://schemas.microsoft.com/office/drawing/2014/main" id="{EA8D8C66-65E6-46B6-BEBF-E016A8662B2C}"/>
            </a:ext>
          </a:extLst>
        </xdr:cNvPr>
        <xdr:cNvSpPr/>
      </xdr:nvSpPr>
      <xdr:spPr>
        <a:xfrm>
          <a:off x="4282440" y="175260"/>
          <a:ext cx="1334659" cy="436297"/>
        </a:xfrm>
        <a:prstGeom prst="round2SameRect">
          <a:avLst>
            <a:gd name="adj1" fmla="val 8000"/>
            <a:gd name="adj2" fmla="val 0"/>
          </a:avLst>
        </a:prstGeom>
        <a:solidFill>
          <a:schemeClr val="accent2">
            <a:lumMod val="75000"/>
            <a:alpha val="90000"/>
          </a:schemeClr>
        </a:solid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anchor="ctr"/>
        <a:lstStyle/>
        <a:p>
          <a:pPr algn="ctr"/>
          <a:r>
            <a:rPr lang="en-IN" sz="1400" b="1">
              <a:solidFill>
                <a:schemeClr val="bg1"/>
              </a:solidFill>
              <a:latin typeface="Arial" panose="020B0604020202020204" pitchFamily="34" charset="0"/>
              <a:cs typeface="Arial" panose="020B0604020202020204" pitchFamily="34" charset="0"/>
            </a:rPr>
            <a:t>Total Runs</a:t>
          </a:r>
          <a:endParaRPr lang="en-IN" b="1">
            <a:solidFill>
              <a:schemeClr val="bg1"/>
            </a:solidFill>
            <a:latin typeface="Arial" panose="020B0604020202020204" pitchFamily="34" charset="0"/>
            <a:cs typeface="Arial" panose="020B0604020202020204" pitchFamily="34" charset="0"/>
          </a:endParaRPr>
        </a:p>
      </xdr:txBody>
    </xdr:sp>
    <xdr:clientData/>
  </xdr:twoCellAnchor>
  <xdr:twoCellAnchor>
    <xdr:from>
      <xdr:col>7</xdr:col>
      <xdr:colOff>15240</xdr:colOff>
      <xdr:row>3</xdr:row>
      <xdr:rowOff>62917</xdr:rowOff>
    </xdr:from>
    <xdr:to>
      <xdr:col>9</xdr:col>
      <xdr:colOff>130699</xdr:colOff>
      <xdr:row>5</xdr:row>
      <xdr:rowOff>7620</xdr:rowOff>
    </xdr:to>
    <xdr:sp macro="" textlink="'Team Summary'!Q7">
      <xdr:nvSpPr>
        <xdr:cNvPr id="26" name="Freeform: Shape 25">
          <a:extLst>
            <a:ext uri="{FF2B5EF4-FFF2-40B4-BE49-F238E27FC236}">
              <a16:creationId xmlns:a16="http://schemas.microsoft.com/office/drawing/2014/main" id="{854823DB-894A-4820-8D88-E91E0ABFC442}"/>
            </a:ext>
          </a:extLst>
        </xdr:cNvPr>
        <xdr:cNvSpPr/>
      </xdr:nvSpPr>
      <xdr:spPr>
        <a:xfrm>
          <a:off x="4282440" y="611557"/>
          <a:ext cx="1334659" cy="310463"/>
        </a:xfrm>
        <a:custGeom>
          <a:avLst/>
          <a:gdLst>
            <a:gd name="connsiteX0" fmla="*/ 0 w 1334659"/>
            <a:gd name="connsiteY0" fmla="*/ 0 h 428406"/>
            <a:gd name="connsiteX1" fmla="*/ 1334659 w 1334659"/>
            <a:gd name="connsiteY1" fmla="*/ 0 h 428406"/>
            <a:gd name="connsiteX2" fmla="*/ 1334659 w 1334659"/>
            <a:gd name="connsiteY2" fmla="*/ 428406 h 428406"/>
            <a:gd name="connsiteX3" fmla="*/ 0 w 1334659"/>
            <a:gd name="connsiteY3" fmla="*/ 428406 h 428406"/>
            <a:gd name="connsiteX4" fmla="*/ 0 w 1334659"/>
            <a:gd name="connsiteY4" fmla="*/ 0 h 42840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334659" h="428406">
              <a:moveTo>
                <a:pt x="0" y="0"/>
              </a:moveTo>
              <a:lnTo>
                <a:pt x="1334659" y="0"/>
              </a:lnTo>
              <a:lnTo>
                <a:pt x="1334659" y="428406"/>
              </a:lnTo>
              <a:lnTo>
                <a:pt x="0" y="428406"/>
              </a:lnTo>
              <a:lnTo>
                <a:pt x="0" y="0"/>
              </a:lnTo>
              <a:close/>
            </a:path>
          </a:pathLst>
        </a:custGeom>
        <a:solidFill>
          <a:schemeClr val="tx1">
            <a:lumMod val="65000"/>
            <a:lumOff val="35000"/>
          </a:schemeClr>
        </a:solidFill>
      </xdr:spPr>
      <xdr:style>
        <a:lnRef idx="2">
          <a:schemeClr val="accen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02870" tIns="0" rIns="429048" bIns="0" numCol="1" spcCol="1270" anchor="ctr" anchorCtr="0">
          <a:noAutofit/>
        </a:bodyPr>
        <a:lstStyle/>
        <a:p>
          <a:pPr marL="0" lvl="0" indent="0" algn="ctr" defTabSz="1200150">
            <a:lnSpc>
              <a:spcPct val="90000"/>
            </a:lnSpc>
            <a:spcBef>
              <a:spcPct val="0"/>
            </a:spcBef>
            <a:spcAft>
              <a:spcPct val="35000"/>
            </a:spcAft>
            <a:buNone/>
          </a:pPr>
          <a:fld id="{36507319-3B5E-440C-B81C-C367DD2556AA}" type="TxLink">
            <a:rPr lang="en-US" sz="1400" b="1" i="0" u="none" strike="noStrike" kern="1200">
              <a:solidFill>
                <a:schemeClr val="bg1"/>
              </a:solidFill>
              <a:latin typeface="Arial" panose="020B0604020202020204" pitchFamily="34" charset="0"/>
              <a:ea typeface="Calibri"/>
              <a:cs typeface="Arial" panose="020B0604020202020204" pitchFamily="34" charset="0"/>
            </a:rPr>
            <a:t>20944</a:t>
          </a:fld>
          <a:endParaRPr lang="en-IN" sz="3200" b="1" kern="1200">
            <a:solidFill>
              <a:schemeClr val="bg1"/>
            </a:solidFill>
            <a:latin typeface="Arial" panose="020B0604020202020204" pitchFamily="34" charset="0"/>
            <a:cs typeface="Arial" panose="020B0604020202020204" pitchFamily="34" charset="0"/>
          </a:endParaRPr>
        </a:p>
      </xdr:txBody>
    </xdr:sp>
    <xdr:clientData/>
  </xdr:twoCellAnchor>
  <xdr:twoCellAnchor>
    <xdr:from>
      <xdr:col>8</xdr:col>
      <xdr:colOff>383296</xdr:colOff>
      <xdr:row>3</xdr:row>
      <xdr:rowOff>70006</xdr:rowOff>
    </xdr:from>
    <xdr:to>
      <xdr:col>9</xdr:col>
      <xdr:colOff>349696</xdr:colOff>
      <xdr:row>6</xdr:row>
      <xdr:rowOff>61366</xdr:rowOff>
    </xdr:to>
    <xdr:sp macro="" textlink="'Team Summary'!R7">
      <xdr:nvSpPr>
        <xdr:cNvPr id="27" name="Oval 26">
          <a:extLst>
            <a:ext uri="{FF2B5EF4-FFF2-40B4-BE49-F238E27FC236}">
              <a16:creationId xmlns:a16="http://schemas.microsoft.com/office/drawing/2014/main" id="{A8865935-ED0C-4B1E-8C29-F6A9463E9870}"/>
            </a:ext>
          </a:extLst>
        </xdr:cNvPr>
        <xdr:cNvSpPr/>
      </xdr:nvSpPr>
      <xdr:spPr>
        <a:xfrm>
          <a:off x="5260096" y="618646"/>
          <a:ext cx="576000" cy="540000"/>
        </a:xfrm>
        <a:prstGeom prst="ellipse">
          <a:avLst/>
        </a:prstGeom>
        <a:solidFill>
          <a:schemeClr val="tx1">
            <a:lumMod val="65000"/>
            <a:lumOff val="35000"/>
            <a:alpha val="90000"/>
          </a:schemeClr>
        </a:solidFill>
      </xdr:spPr>
      <xdr:style>
        <a:lnRef idx="2">
          <a:schemeClr val="accent1">
            <a:alpha val="90000"/>
            <a:tint val="40000"/>
            <a:hueOff val="0"/>
            <a:satOff val="0"/>
            <a:lumOff val="0"/>
            <a:alphaOff val="0"/>
          </a:schemeClr>
        </a:lnRef>
        <a:fillRef idx="1">
          <a:schemeClr val="accent1">
            <a:alpha val="90000"/>
            <a:tint val="40000"/>
            <a:hueOff val="0"/>
            <a:satOff val="0"/>
            <a:lumOff val="0"/>
            <a:alphaOff val="0"/>
          </a:schemeClr>
        </a:fillRef>
        <a:effectRef idx="0">
          <a:schemeClr val="accent1">
            <a:alpha val="90000"/>
            <a:tint val="40000"/>
            <a:hueOff val="0"/>
            <a:satOff val="0"/>
            <a:lumOff val="0"/>
            <a:alphaOff val="0"/>
          </a:schemeClr>
        </a:effectRef>
        <a:fontRef idx="minor">
          <a:schemeClr val="dk1">
            <a:hueOff val="0"/>
            <a:satOff val="0"/>
            <a:lumOff val="0"/>
            <a:alphaOff val="0"/>
          </a:schemeClr>
        </a:fontRef>
      </xdr:style>
      <xdr:txBody>
        <a:bodyPr anchor="ctr"/>
        <a:lstStyle/>
        <a:p>
          <a:pPr algn="ctr"/>
          <a:fld id="{477C0FDD-582F-4BF8-9B14-F306A58B5378}" type="TxLink">
            <a:rPr lang="en-US" sz="1000" b="1" i="0" u="none" strike="noStrike">
              <a:solidFill>
                <a:schemeClr val="bg1"/>
              </a:solidFill>
              <a:latin typeface="Arial" panose="020B0604020202020204" pitchFamily="34" charset="0"/>
              <a:ea typeface="Calibri"/>
              <a:cs typeface="Arial" panose="020B0604020202020204" pitchFamily="34" charset="0"/>
            </a:rPr>
            <a:t>100%</a:t>
          </a:fld>
          <a:endParaRPr lang="en-IN" sz="800" b="1">
            <a:solidFill>
              <a:schemeClr val="bg1"/>
            </a:solidFill>
            <a:latin typeface="Arial" panose="020B0604020202020204" pitchFamily="34" charset="0"/>
            <a:cs typeface="Arial" panose="020B0604020202020204" pitchFamily="34" charset="0"/>
          </a:endParaRPr>
        </a:p>
      </xdr:txBody>
    </xdr:sp>
    <xdr:clientData/>
  </xdr:twoCellAnchor>
  <xdr:twoCellAnchor>
    <xdr:from>
      <xdr:col>9</xdr:col>
      <xdr:colOff>601980</xdr:colOff>
      <xdr:row>1</xdr:row>
      <xdr:rowOff>0</xdr:rowOff>
    </xdr:from>
    <xdr:to>
      <xdr:col>12</xdr:col>
      <xdr:colOff>137160</xdr:colOff>
      <xdr:row>3</xdr:row>
      <xdr:rowOff>70537</xdr:rowOff>
    </xdr:to>
    <xdr:sp macro="" textlink="">
      <xdr:nvSpPr>
        <xdr:cNvPr id="28" name="Rectangle: Top Corners Rounded 27">
          <a:extLst>
            <a:ext uri="{FF2B5EF4-FFF2-40B4-BE49-F238E27FC236}">
              <a16:creationId xmlns:a16="http://schemas.microsoft.com/office/drawing/2014/main" id="{AECCBFA7-AA95-4D00-99C9-B1B9E39B87D2}"/>
            </a:ext>
          </a:extLst>
        </xdr:cNvPr>
        <xdr:cNvSpPr/>
      </xdr:nvSpPr>
      <xdr:spPr>
        <a:xfrm>
          <a:off x="6088380" y="182880"/>
          <a:ext cx="1363980" cy="436297"/>
        </a:xfrm>
        <a:prstGeom prst="round2SameRect">
          <a:avLst>
            <a:gd name="adj1" fmla="val 8000"/>
            <a:gd name="adj2" fmla="val 0"/>
          </a:avLst>
        </a:prstGeom>
        <a:solidFill>
          <a:srgbClr val="FF0000">
            <a:alpha val="90000"/>
          </a:srgbClr>
        </a:solid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anchor="ctr"/>
        <a:lstStyle/>
        <a:p>
          <a:pPr algn="ctr"/>
          <a:r>
            <a:rPr lang="en-IN" sz="1400" b="1">
              <a:solidFill>
                <a:schemeClr val="bg1"/>
              </a:solidFill>
              <a:latin typeface="Arial" panose="020B0604020202020204" pitchFamily="34" charset="0"/>
              <a:cs typeface="Arial" panose="020B0604020202020204" pitchFamily="34" charset="0"/>
            </a:rPr>
            <a:t>Total Wickets</a:t>
          </a:r>
          <a:endParaRPr lang="en-IN" b="1">
            <a:solidFill>
              <a:schemeClr val="bg1"/>
            </a:solidFill>
            <a:latin typeface="Arial" panose="020B0604020202020204" pitchFamily="34" charset="0"/>
            <a:cs typeface="Arial" panose="020B0604020202020204" pitchFamily="34" charset="0"/>
          </a:endParaRPr>
        </a:p>
      </xdr:txBody>
    </xdr:sp>
    <xdr:clientData/>
  </xdr:twoCellAnchor>
  <xdr:twoCellAnchor>
    <xdr:from>
      <xdr:col>9</xdr:col>
      <xdr:colOff>601980</xdr:colOff>
      <xdr:row>3</xdr:row>
      <xdr:rowOff>70537</xdr:rowOff>
    </xdr:from>
    <xdr:to>
      <xdr:col>12</xdr:col>
      <xdr:colOff>107839</xdr:colOff>
      <xdr:row>5</xdr:row>
      <xdr:rowOff>15240</xdr:rowOff>
    </xdr:to>
    <xdr:sp macro="" textlink="'Team Summary'!Q8">
      <xdr:nvSpPr>
        <xdr:cNvPr id="29" name="Freeform: Shape 28">
          <a:extLst>
            <a:ext uri="{FF2B5EF4-FFF2-40B4-BE49-F238E27FC236}">
              <a16:creationId xmlns:a16="http://schemas.microsoft.com/office/drawing/2014/main" id="{1A8E2537-EB14-47DE-BC90-342A227E133F}"/>
            </a:ext>
          </a:extLst>
        </xdr:cNvPr>
        <xdr:cNvSpPr/>
      </xdr:nvSpPr>
      <xdr:spPr>
        <a:xfrm>
          <a:off x="6088380" y="619177"/>
          <a:ext cx="1334659" cy="310463"/>
        </a:xfrm>
        <a:custGeom>
          <a:avLst/>
          <a:gdLst>
            <a:gd name="connsiteX0" fmla="*/ 0 w 1334659"/>
            <a:gd name="connsiteY0" fmla="*/ 0 h 428406"/>
            <a:gd name="connsiteX1" fmla="*/ 1334659 w 1334659"/>
            <a:gd name="connsiteY1" fmla="*/ 0 h 428406"/>
            <a:gd name="connsiteX2" fmla="*/ 1334659 w 1334659"/>
            <a:gd name="connsiteY2" fmla="*/ 428406 h 428406"/>
            <a:gd name="connsiteX3" fmla="*/ 0 w 1334659"/>
            <a:gd name="connsiteY3" fmla="*/ 428406 h 428406"/>
            <a:gd name="connsiteX4" fmla="*/ 0 w 1334659"/>
            <a:gd name="connsiteY4" fmla="*/ 0 h 42840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334659" h="428406">
              <a:moveTo>
                <a:pt x="0" y="0"/>
              </a:moveTo>
              <a:lnTo>
                <a:pt x="1334659" y="0"/>
              </a:lnTo>
              <a:lnTo>
                <a:pt x="1334659" y="428406"/>
              </a:lnTo>
              <a:lnTo>
                <a:pt x="0" y="428406"/>
              </a:lnTo>
              <a:lnTo>
                <a:pt x="0" y="0"/>
              </a:lnTo>
              <a:close/>
            </a:path>
          </a:pathLst>
        </a:custGeom>
        <a:solidFill>
          <a:schemeClr val="tx1">
            <a:lumMod val="65000"/>
            <a:lumOff val="35000"/>
          </a:schemeClr>
        </a:solidFill>
      </xdr:spPr>
      <xdr:style>
        <a:lnRef idx="2">
          <a:schemeClr val="accen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02870" tIns="0" rIns="429048" bIns="0" numCol="1" spcCol="1270" anchor="ctr" anchorCtr="0">
          <a:noAutofit/>
        </a:bodyPr>
        <a:lstStyle/>
        <a:p>
          <a:pPr marL="0" lvl="0" indent="0" algn="ctr" defTabSz="1200150">
            <a:lnSpc>
              <a:spcPct val="90000"/>
            </a:lnSpc>
            <a:spcBef>
              <a:spcPct val="0"/>
            </a:spcBef>
            <a:spcAft>
              <a:spcPct val="35000"/>
            </a:spcAft>
            <a:buNone/>
          </a:pPr>
          <a:fld id="{E140430E-4208-407C-9A36-BC219E6DF471}" type="TxLink">
            <a:rPr lang="en-US" sz="1400" b="1" i="0" u="none" strike="noStrike" kern="1200">
              <a:solidFill>
                <a:schemeClr val="bg1"/>
              </a:solidFill>
              <a:latin typeface="Arial" panose="020B0604020202020204" pitchFamily="34" charset="0"/>
              <a:ea typeface="Calibri"/>
              <a:cs typeface="Arial" panose="020B0604020202020204" pitchFamily="34" charset="0"/>
            </a:rPr>
            <a:t>799</a:t>
          </a:fld>
          <a:endParaRPr lang="en-IN" sz="2700" b="1" kern="1200">
            <a:solidFill>
              <a:schemeClr val="bg1"/>
            </a:solidFill>
            <a:latin typeface="Arial" panose="020B0604020202020204" pitchFamily="34" charset="0"/>
            <a:cs typeface="Arial" panose="020B0604020202020204" pitchFamily="34" charset="0"/>
          </a:endParaRPr>
        </a:p>
      </xdr:txBody>
    </xdr:sp>
    <xdr:clientData/>
  </xdr:twoCellAnchor>
  <xdr:twoCellAnchor>
    <xdr:from>
      <xdr:col>11</xdr:col>
      <xdr:colOff>360436</xdr:colOff>
      <xdr:row>3</xdr:row>
      <xdr:rowOff>77626</xdr:rowOff>
    </xdr:from>
    <xdr:to>
      <xdr:col>12</xdr:col>
      <xdr:colOff>326836</xdr:colOff>
      <xdr:row>6</xdr:row>
      <xdr:rowOff>68986</xdr:rowOff>
    </xdr:to>
    <xdr:sp macro="" textlink="'Team Summary'!R8">
      <xdr:nvSpPr>
        <xdr:cNvPr id="30" name="Oval 29">
          <a:extLst>
            <a:ext uri="{FF2B5EF4-FFF2-40B4-BE49-F238E27FC236}">
              <a16:creationId xmlns:a16="http://schemas.microsoft.com/office/drawing/2014/main" id="{066E2636-8BEC-4F80-B9B9-64E0387580EA}"/>
            </a:ext>
          </a:extLst>
        </xdr:cNvPr>
        <xdr:cNvSpPr/>
      </xdr:nvSpPr>
      <xdr:spPr>
        <a:xfrm>
          <a:off x="7066036" y="626266"/>
          <a:ext cx="576000" cy="540000"/>
        </a:xfrm>
        <a:prstGeom prst="ellipse">
          <a:avLst/>
        </a:prstGeom>
        <a:solidFill>
          <a:schemeClr val="tx1">
            <a:lumMod val="65000"/>
            <a:lumOff val="35000"/>
            <a:alpha val="90000"/>
          </a:schemeClr>
        </a:solidFill>
      </xdr:spPr>
      <xdr:style>
        <a:lnRef idx="2">
          <a:schemeClr val="accent1">
            <a:alpha val="90000"/>
            <a:tint val="40000"/>
            <a:hueOff val="0"/>
            <a:satOff val="0"/>
            <a:lumOff val="0"/>
            <a:alphaOff val="0"/>
          </a:schemeClr>
        </a:lnRef>
        <a:fillRef idx="1">
          <a:schemeClr val="accent1">
            <a:alpha val="90000"/>
            <a:tint val="40000"/>
            <a:hueOff val="0"/>
            <a:satOff val="0"/>
            <a:lumOff val="0"/>
            <a:alphaOff val="0"/>
          </a:schemeClr>
        </a:fillRef>
        <a:effectRef idx="0">
          <a:schemeClr val="accent1">
            <a:alpha val="90000"/>
            <a:tint val="40000"/>
            <a:hueOff val="0"/>
            <a:satOff val="0"/>
            <a:lumOff val="0"/>
            <a:alphaOff val="0"/>
          </a:schemeClr>
        </a:effectRef>
        <a:fontRef idx="minor">
          <a:schemeClr val="dk1">
            <a:hueOff val="0"/>
            <a:satOff val="0"/>
            <a:lumOff val="0"/>
            <a:alphaOff val="0"/>
          </a:schemeClr>
        </a:fontRef>
      </xdr:style>
      <xdr:txBody>
        <a:bodyPr anchor="ctr"/>
        <a:lstStyle/>
        <a:p>
          <a:pPr algn="ctr"/>
          <a:fld id="{F57E6E57-8B53-42C7-BC2B-8AB153FA4024}" type="TxLink">
            <a:rPr lang="en-US" sz="1000" b="1" i="0" u="none" strike="noStrike">
              <a:solidFill>
                <a:schemeClr val="bg1"/>
              </a:solidFill>
              <a:latin typeface="Arial" panose="020B0604020202020204" pitchFamily="34" charset="0"/>
              <a:ea typeface="Calibri"/>
              <a:cs typeface="Arial" panose="020B0604020202020204" pitchFamily="34" charset="0"/>
            </a:rPr>
            <a:t>100%</a:t>
          </a:fld>
          <a:endParaRPr lang="en-IN" sz="800" b="1">
            <a:solidFill>
              <a:schemeClr val="bg1"/>
            </a:solidFill>
            <a:latin typeface="Arial" panose="020B0604020202020204" pitchFamily="34" charset="0"/>
            <a:cs typeface="Arial" panose="020B0604020202020204" pitchFamily="34" charset="0"/>
          </a:endParaRPr>
        </a:p>
      </xdr:txBody>
    </xdr:sp>
    <xdr:clientData/>
  </xdr:twoCellAnchor>
  <xdr:twoCellAnchor>
    <xdr:from>
      <xdr:col>12</xdr:col>
      <xdr:colOff>594360</xdr:colOff>
      <xdr:row>0</xdr:row>
      <xdr:rowOff>167640</xdr:rowOff>
    </xdr:from>
    <xdr:to>
      <xdr:col>15</xdr:col>
      <xdr:colOff>100219</xdr:colOff>
      <xdr:row>3</xdr:row>
      <xdr:rowOff>55297</xdr:rowOff>
    </xdr:to>
    <xdr:sp macro="" textlink="">
      <xdr:nvSpPr>
        <xdr:cNvPr id="31" name="Rectangle: Top Corners Rounded 30">
          <a:extLst>
            <a:ext uri="{FF2B5EF4-FFF2-40B4-BE49-F238E27FC236}">
              <a16:creationId xmlns:a16="http://schemas.microsoft.com/office/drawing/2014/main" id="{42ECB83D-4F05-488D-B3A1-310C65633568}"/>
            </a:ext>
          </a:extLst>
        </xdr:cNvPr>
        <xdr:cNvSpPr/>
      </xdr:nvSpPr>
      <xdr:spPr>
        <a:xfrm>
          <a:off x="7909560" y="167640"/>
          <a:ext cx="1334659" cy="436297"/>
        </a:xfrm>
        <a:prstGeom prst="round2SameRect">
          <a:avLst>
            <a:gd name="adj1" fmla="val 8000"/>
            <a:gd name="adj2" fmla="val 0"/>
          </a:avLst>
        </a:prstGeom>
        <a:solidFill>
          <a:schemeClr val="accent6">
            <a:lumMod val="50000"/>
            <a:alpha val="90000"/>
          </a:schemeClr>
        </a:solid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anchor="ctr"/>
        <a:lstStyle/>
        <a:p>
          <a:pPr algn="ctr"/>
          <a:r>
            <a:rPr lang="en-IN" sz="1400" b="1">
              <a:solidFill>
                <a:schemeClr val="bg1"/>
              </a:solidFill>
              <a:latin typeface="Arial" panose="020B0604020202020204" pitchFamily="34" charset="0"/>
              <a:cs typeface="Arial" panose="020B0604020202020204" pitchFamily="34" charset="0"/>
            </a:rPr>
            <a:t>Total Wins</a:t>
          </a:r>
          <a:endParaRPr lang="en-IN" b="1">
            <a:solidFill>
              <a:schemeClr val="bg1"/>
            </a:solidFill>
            <a:latin typeface="Arial" panose="020B0604020202020204" pitchFamily="34" charset="0"/>
            <a:cs typeface="Arial" panose="020B0604020202020204" pitchFamily="34" charset="0"/>
          </a:endParaRPr>
        </a:p>
      </xdr:txBody>
    </xdr:sp>
    <xdr:clientData/>
  </xdr:twoCellAnchor>
  <xdr:twoCellAnchor>
    <xdr:from>
      <xdr:col>12</xdr:col>
      <xdr:colOff>594360</xdr:colOff>
      <xdr:row>3</xdr:row>
      <xdr:rowOff>55297</xdr:rowOff>
    </xdr:from>
    <xdr:to>
      <xdr:col>15</xdr:col>
      <xdr:colOff>100219</xdr:colOff>
      <xdr:row>5</xdr:row>
      <xdr:rowOff>0</xdr:rowOff>
    </xdr:to>
    <xdr:sp macro="" textlink="'Team Summary'!Q10">
      <xdr:nvSpPr>
        <xdr:cNvPr id="32" name="Freeform: Shape 31">
          <a:extLst>
            <a:ext uri="{FF2B5EF4-FFF2-40B4-BE49-F238E27FC236}">
              <a16:creationId xmlns:a16="http://schemas.microsoft.com/office/drawing/2014/main" id="{02FCB5F0-E1BC-429F-AEF3-558D2BD38132}"/>
            </a:ext>
          </a:extLst>
        </xdr:cNvPr>
        <xdr:cNvSpPr/>
      </xdr:nvSpPr>
      <xdr:spPr>
        <a:xfrm>
          <a:off x="7909560" y="603937"/>
          <a:ext cx="1334659" cy="310463"/>
        </a:xfrm>
        <a:custGeom>
          <a:avLst/>
          <a:gdLst>
            <a:gd name="connsiteX0" fmla="*/ 0 w 1334659"/>
            <a:gd name="connsiteY0" fmla="*/ 0 h 428406"/>
            <a:gd name="connsiteX1" fmla="*/ 1334659 w 1334659"/>
            <a:gd name="connsiteY1" fmla="*/ 0 h 428406"/>
            <a:gd name="connsiteX2" fmla="*/ 1334659 w 1334659"/>
            <a:gd name="connsiteY2" fmla="*/ 428406 h 428406"/>
            <a:gd name="connsiteX3" fmla="*/ 0 w 1334659"/>
            <a:gd name="connsiteY3" fmla="*/ 428406 h 428406"/>
            <a:gd name="connsiteX4" fmla="*/ 0 w 1334659"/>
            <a:gd name="connsiteY4" fmla="*/ 0 h 42840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334659" h="428406">
              <a:moveTo>
                <a:pt x="0" y="0"/>
              </a:moveTo>
              <a:lnTo>
                <a:pt x="1334659" y="0"/>
              </a:lnTo>
              <a:lnTo>
                <a:pt x="1334659" y="428406"/>
              </a:lnTo>
              <a:lnTo>
                <a:pt x="0" y="428406"/>
              </a:lnTo>
              <a:lnTo>
                <a:pt x="0" y="0"/>
              </a:lnTo>
              <a:close/>
            </a:path>
          </a:pathLst>
        </a:custGeom>
        <a:solidFill>
          <a:schemeClr val="tx1">
            <a:lumMod val="65000"/>
            <a:lumOff val="35000"/>
          </a:schemeClr>
        </a:solidFill>
      </xdr:spPr>
      <xdr:style>
        <a:lnRef idx="2">
          <a:schemeClr val="accen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02870" tIns="0" rIns="429048" bIns="0" numCol="1" spcCol="1270" anchor="ctr" anchorCtr="0">
          <a:noAutofit/>
        </a:bodyPr>
        <a:lstStyle/>
        <a:p>
          <a:pPr marL="0" lvl="0" indent="0" algn="ctr" defTabSz="1200150">
            <a:lnSpc>
              <a:spcPct val="90000"/>
            </a:lnSpc>
            <a:spcBef>
              <a:spcPct val="0"/>
            </a:spcBef>
            <a:spcAft>
              <a:spcPct val="35000"/>
            </a:spcAft>
            <a:buNone/>
          </a:pPr>
          <a:fld id="{3E76931B-3B82-498B-9A99-6D9432C2B567}" type="TxLink">
            <a:rPr lang="en-US" sz="1400" b="1" i="0" u="none" strike="noStrike" kern="1200">
              <a:solidFill>
                <a:schemeClr val="bg1"/>
              </a:solidFill>
              <a:latin typeface="Arial" panose="020B0604020202020204" pitchFamily="34" charset="0"/>
              <a:ea typeface="Calibri"/>
              <a:cs typeface="Arial" panose="020B0604020202020204" pitchFamily="34" charset="0"/>
            </a:rPr>
            <a:pPr marL="0" lvl="0" indent="0" algn="ctr" defTabSz="1200150">
              <a:lnSpc>
                <a:spcPct val="90000"/>
              </a:lnSpc>
              <a:spcBef>
                <a:spcPct val="0"/>
              </a:spcBef>
              <a:spcAft>
                <a:spcPct val="35000"/>
              </a:spcAft>
              <a:buNone/>
            </a:pPr>
            <a:t>60</a:t>
          </a:fld>
          <a:endParaRPr lang="en-IN" sz="2700" b="1" kern="1200">
            <a:solidFill>
              <a:schemeClr val="bg1"/>
            </a:solidFill>
            <a:latin typeface="Arial" panose="020B0604020202020204" pitchFamily="34" charset="0"/>
            <a:cs typeface="Arial" panose="020B0604020202020204" pitchFamily="34" charset="0"/>
          </a:endParaRPr>
        </a:p>
      </xdr:txBody>
    </xdr:sp>
    <xdr:clientData/>
  </xdr:twoCellAnchor>
  <xdr:twoCellAnchor>
    <xdr:from>
      <xdr:col>14</xdr:col>
      <xdr:colOff>352816</xdr:colOff>
      <xdr:row>3</xdr:row>
      <xdr:rowOff>62386</xdr:rowOff>
    </xdr:from>
    <xdr:to>
      <xdr:col>15</xdr:col>
      <xdr:colOff>319216</xdr:colOff>
      <xdr:row>6</xdr:row>
      <xdr:rowOff>53746</xdr:rowOff>
    </xdr:to>
    <xdr:sp macro="" textlink="'Team Summary'!R9">
      <xdr:nvSpPr>
        <xdr:cNvPr id="33" name="Oval 32">
          <a:extLst>
            <a:ext uri="{FF2B5EF4-FFF2-40B4-BE49-F238E27FC236}">
              <a16:creationId xmlns:a16="http://schemas.microsoft.com/office/drawing/2014/main" id="{F31CBA6D-CB6D-4F1E-A5D6-543727F9DF1C}"/>
            </a:ext>
          </a:extLst>
        </xdr:cNvPr>
        <xdr:cNvSpPr/>
      </xdr:nvSpPr>
      <xdr:spPr>
        <a:xfrm>
          <a:off x="8887216" y="611026"/>
          <a:ext cx="576000" cy="540000"/>
        </a:xfrm>
        <a:prstGeom prst="ellipse">
          <a:avLst/>
        </a:prstGeom>
        <a:solidFill>
          <a:schemeClr val="tx1">
            <a:lumMod val="65000"/>
            <a:lumOff val="35000"/>
            <a:alpha val="90000"/>
          </a:schemeClr>
        </a:solidFill>
      </xdr:spPr>
      <xdr:style>
        <a:lnRef idx="2">
          <a:schemeClr val="accent1">
            <a:alpha val="90000"/>
            <a:tint val="40000"/>
            <a:hueOff val="0"/>
            <a:satOff val="0"/>
            <a:lumOff val="0"/>
            <a:alphaOff val="0"/>
          </a:schemeClr>
        </a:lnRef>
        <a:fillRef idx="1">
          <a:schemeClr val="accent1">
            <a:alpha val="90000"/>
            <a:tint val="40000"/>
            <a:hueOff val="0"/>
            <a:satOff val="0"/>
            <a:lumOff val="0"/>
            <a:alphaOff val="0"/>
          </a:schemeClr>
        </a:fillRef>
        <a:effectRef idx="0">
          <a:schemeClr val="accent1">
            <a:alpha val="90000"/>
            <a:tint val="40000"/>
            <a:hueOff val="0"/>
            <a:satOff val="0"/>
            <a:lumOff val="0"/>
            <a:alphaOff val="0"/>
          </a:schemeClr>
        </a:effectRef>
        <a:fontRef idx="minor">
          <a:schemeClr val="dk1">
            <a:hueOff val="0"/>
            <a:satOff val="0"/>
            <a:lumOff val="0"/>
            <a:alphaOff val="0"/>
          </a:schemeClr>
        </a:fontRef>
      </xdr:style>
      <xdr:txBody>
        <a:bodyPr anchor="ctr"/>
        <a:lstStyle/>
        <a:p>
          <a:pPr algn="ctr"/>
          <a:fld id="{7CD831F9-AD3F-4D7A-92D3-EEE6105A7BD1}" type="TxLink">
            <a:rPr lang="en-US" sz="1000" b="1" i="0" u="none" strike="noStrike">
              <a:solidFill>
                <a:schemeClr val="bg1"/>
              </a:solidFill>
              <a:latin typeface="Arial" panose="020B0604020202020204" pitchFamily="34" charset="0"/>
              <a:ea typeface="Calibri"/>
              <a:cs typeface="Arial" panose="020B0604020202020204" pitchFamily="34" charset="0"/>
            </a:rPr>
            <a:pPr algn="ctr"/>
            <a:t>100%</a:t>
          </a:fld>
          <a:endParaRPr lang="en-IN" sz="1000" b="1">
            <a:solidFill>
              <a:schemeClr val="bg1"/>
            </a:solidFill>
            <a:latin typeface="Arial" panose="020B0604020202020204" pitchFamily="34" charset="0"/>
            <a:cs typeface="Arial" panose="020B0604020202020204" pitchFamily="34"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51.924025231485" backgroundQuery="1" createdVersion="6" refreshedVersion="6" minRefreshableVersion="3" recordCount="0" supportSubquery="1" supportAdvancedDrill="1" xr:uid="{EEA94720-4525-4D1C-8D76-21A027FF1502}">
  <cacheSource type="external" connectionId="6"/>
  <cacheFields count="4">
    <cacheField name="[dim_team].[Team_Name].[Team_Name]" caption="Team_Name" numFmtId="0" hierarchy="9" level="1">
      <sharedItems count="8">
        <s v="Chennai Super Kings (CSK)"/>
        <s v="Delhi Capitals (DC)"/>
        <s v="Kolkata Knight Riders (KKR)"/>
        <s v="Mumbai Indians (MI)"/>
        <s v="Punjab Kings (PBKS)"/>
        <s v="Rajasthan Royals (RR)"/>
        <s v="Royal Challengers Bengaluru (RCB)"/>
        <s v="Sunrisers Hyderabad (SRH)"/>
      </sharedItems>
    </cacheField>
    <cacheField name="[fact_match].[Win_Type].[Win_Type]" caption="Win_Type" numFmtId="0" hierarchy="35" level="1">
      <sharedItems count="2">
        <s v="Win by Runs"/>
        <s v="Win by Wickets"/>
      </sharedItems>
    </cacheField>
    <cacheField name="[Measures].[Count of Match_ID]" caption="Count of Match_ID" numFmtId="0" hierarchy="61" level="32767"/>
    <cacheField name="[fact_match].[Venue_Name].[Venue_Name]" caption="Venue_Name" numFmtId="0" hierarchy="37" level="1">
      <sharedItems containsSemiMixedTypes="0" containsNonDate="0" containsString="0"/>
    </cacheField>
  </cacheFields>
  <cacheHierarchies count="80">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2" memberValueDatatype="130" unbalanced="0">
      <fieldsUsage count="2">
        <fieldUsage x="-1"/>
        <fieldUsage x="1"/>
      </fieldsUsage>
    </cacheHierarchy>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3"/>
      </fieldsUsage>
    </cacheHierarchy>
    <cacheHierarchy uniqueName="[fact_match].[Home_Player]" caption="Home_Player" attribute="1" defaultMemberUniqueName="[fact_match].[Home_Player].[All]" allUniqueName="[fact_match].[Home_Player].[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Sum of Runs]" caption="Sum of Runs" measure="1" displayFolder="" measureGroup="fact_player" count="0">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extLst>
        <ext xmlns:x15="http://schemas.microsoft.com/office/spreadsheetml/2010/11/main" uri="{B97F6D7D-B522-45F9-BDA1-12C45D357490}">
          <x15:cacheHierarchy aggregatedColumn="43"/>
        </ext>
      </extLst>
    </cacheHierarchy>
    <cacheHierarchy uniqueName="[Measures].[Sum of Fours]" caption="Sum of Fours" measure="1" displayFolder="" measureGroup="fact_player" count="0">
      <extLst>
        <ext xmlns:x15="http://schemas.microsoft.com/office/spreadsheetml/2010/11/main" uri="{B97F6D7D-B522-45F9-BDA1-12C45D357490}">
          <x15:cacheHierarchy aggregatedColumn="44"/>
        </ext>
      </extLst>
    </cacheHierarchy>
    <cacheHierarchy uniqueName="[Measures].[Sum of Sixes]" caption="Sum of Sixes" measure="1" displayFolder="" measureGroup="fact_player" count="0">
      <extLst>
        <ext xmlns:x15="http://schemas.microsoft.com/office/spreadsheetml/2010/11/main" uri="{B97F6D7D-B522-45F9-BDA1-12C45D357490}">
          <x15:cacheHierarchy aggregatedColumn="45"/>
        </ext>
      </extLst>
    </cacheHierarchy>
    <cacheHierarchy uniqueName="[Measures].[Sum of Strike_Rate]" caption="Sum of Strike_Rate" measure="1" displayFolder="" measureGroup="fact_player" count="0">
      <extLst>
        <ext xmlns:x15="http://schemas.microsoft.com/office/spreadsheetml/2010/11/main" uri="{B97F6D7D-B522-45F9-BDA1-12C45D357490}">
          <x15:cacheHierarchy aggregatedColumn="46"/>
        </ext>
      </extLst>
    </cacheHierarchy>
    <cacheHierarchy uniqueName="[Measures].[Sum of Overs_Bowled]" caption="Sum of Overs_Bowled" measure="1" displayFolder="" measureGroup="fact_player" count="0">
      <extLst>
        <ext xmlns:x15="http://schemas.microsoft.com/office/spreadsheetml/2010/11/main" uri="{B97F6D7D-B522-45F9-BDA1-12C45D357490}">
          <x15:cacheHierarchy aggregatedColumn="47"/>
        </ext>
      </extLst>
    </cacheHierarchy>
    <cacheHierarchy uniqueName="[Measures].[Sum of Wickets]" caption="Sum of Wickets" measure="1" displayFolder="" measureGroup="fact_player" count="0">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extLst>
        <ext xmlns:x15="http://schemas.microsoft.com/office/spreadsheetml/2010/11/main" uri="{B97F6D7D-B522-45F9-BDA1-12C45D357490}">
          <x15:cacheHierarchy aggregatedColumn="48"/>
        </ext>
      </extLst>
    </cacheHierarchy>
    <cacheHierarchy uniqueName="[Measures].[Sum of Economy]" caption="Sum of Economy" measure="1" displayFolder="" measureGroup="fact_player" count="0">
      <extLst>
        <ext xmlns:x15="http://schemas.microsoft.com/office/spreadsheetml/2010/11/main" uri="{B97F6D7D-B522-45F9-BDA1-12C45D357490}">
          <x15:cacheHierarchy aggregatedColumn="50"/>
        </ext>
      </extLst>
    </cacheHierarchy>
    <cacheHierarchy uniqueName="[Measures].[Sum of Total_Runs]" caption="Sum of Total_Runs" measure="1" displayFolder="" measureGroup="fact_match" count="0">
      <extLst>
        <ext xmlns:x15="http://schemas.microsoft.com/office/spreadsheetml/2010/11/main" uri="{B97F6D7D-B522-45F9-BDA1-12C45D357490}">
          <x15:cacheHierarchy aggregatedColumn="33"/>
        </ext>
      </extLst>
    </cacheHierarchy>
    <cacheHierarchy uniqueName="[Measures].[Count of Match_ID]" caption="Count of Match_ID" measure="1" displayFolder="" measureGroup="fact_match" count="0" oneField="1">
      <fieldsUsage count="1">
        <fieldUsage x="2"/>
      </fieldsUsage>
      <extLst>
        <ext xmlns:x15="http://schemas.microsoft.com/office/spreadsheetml/2010/11/main" uri="{B97F6D7D-B522-45F9-BDA1-12C45D357490}">
          <x15:cacheHierarchy aggregatedColumn="19"/>
        </ext>
      </extLst>
    </cacheHierarchy>
    <cacheHierarchy uniqueName="[Measures].[Sum of Win_Margin]" caption="Sum of Win_Margin" measure="1" displayFolder="" measureGroup="fact_match" count="0">
      <extLst>
        <ext xmlns:x15="http://schemas.microsoft.com/office/spreadsheetml/2010/11/main" uri="{B97F6D7D-B522-45F9-BDA1-12C45D357490}">
          <x15:cacheHierarchy aggregatedColumn="34"/>
        </ext>
      </extLst>
    </cacheHierarchy>
    <cacheHierarchy uniqueName="[Measures].[Count of Team_ID]" caption="Count of Team_ID" measure="1" displayFolder="" measureGroup="dim_team" count="0">
      <extLst>
        <ext xmlns:x15="http://schemas.microsoft.com/office/spreadsheetml/2010/11/main" uri="{B97F6D7D-B522-45F9-BDA1-12C45D357490}">
          <x15:cacheHierarchy aggregatedColumn="8"/>
        </ext>
      </extLst>
    </cacheHierarchy>
    <cacheHierarchy uniqueName="[Measures].[TotalMatch]" caption="TotalMatch"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Totalwin]" caption="Totalwin" measure="1" displayFolder="" measureGroup="fact_player"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51.924025810185" backgroundQuery="1" createdVersion="6" refreshedVersion="6" minRefreshableVersion="3" recordCount="0" supportSubquery="1" supportAdvancedDrill="1" xr:uid="{B49D88D2-8D2A-4D77-87F4-9FAEA169ACA7}">
  <cacheSource type="external" connectionId="6"/>
  <cacheFields count="10">
    <cacheField name="[dim_player].[Player_Name].[Player_Name]" caption="Player_Name" numFmtId="0" hierarchy="1" level="1">
      <sharedItems count="33">
        <s v="Abhishek Sharma"/>
        <s v="Andre Russell"/>
        <s v="Arshdeep Singh"/>
        <s v="Axar Patel"/>
        <s v="Bhuvneshwar Kumar"/>
        <s v="Daryl Mitchell"/>
        <s v="David Warner"/>
        <s v="Deepak Chahar"/>
        <s v="Dinesh Karthik"/>
        <s v="Glenn Maxwell"/>
        <s v="Hardik Pandya"/>
        <s v="Heinrich Klaasen"/>
        <s v="Ishan Kishan"/>
        <s v="Jasprit Bumrah"/>
        <s v="Jitesh Sharma"/>
        <s v="Jos Buttler"/>
        <s v="Kagiso Rabada"/>
        <s v="Kuldeep Yadav"/>
        <s v="Liam Livingstone"/>
        <s v="Matheesha Pathirana"/>
        <s v="Mitchell Marsh"/>
        <s v="Mohammed Siraj"/>
        <s v="Rinku Singh"/>
        <s v="Shivam Dube"/>
        <s v="Sunil Narine"/>
        <s v="Suryakumar Yadav"/>
        <s v="Tilak Varma"/>
        <s v="Travis Head"/>
        <s v="Trent Boult"/>
        <s v="Varun Chakravarthy"/>
        <s v="Virat Kohli"/>
        <s v="Yashasvi Jaiswal"/>
        <s v="Yuzvendra Chahal"/>
      </sharedItems>
    </cacheField>
    <cacheField name="[dim_player].[Role].[Role]" caption="Role" numFmtId="0" hierarchy="3" level="1">
      <sharedItems containsNonDate="0" count="1">
        <s v="Batsman"/>
      </sharedItems>
    </cacheField>
    <cacheField name="[dim_team].[Team_Name].[Team_Name]" caption="Team_Name" numFmtId="0" hierarchy="9" level="1">
      <sharedItems containsNonDate="0" count="2">
        <s v="Kolkata Knight Riders (KKR)"/>
        <s v="Sunrisers Hyderabad (SRH)"/>
      </sharedItems>
    </cacheField>
    <cacheField name="[Measures].[Sum of Runs]" caption="Sum of Runs" numFmtId="0" hierarchy="51" level="32767"/>
    <cacheField name="[Measures].[Sum of Balls_Faced]" caption="Sum of Balls_Faced" numFmtId="0" hierarchy="52" level="32767"/>
    <cacheField name="[Measures].[Sum of Wickets]" caption="Sum of Wickets" numFmtId="0" hierarchy="57" level="32767"/>
    <cacheField name="[Measures].[Sum of Runs_Conceded]" caption="Sum of Runs_Conceded" numFmtId="0" hierarchy="58" level="32767"/>
    <cacheField name="[Measures].[Sum of Strike_Rate]" caption="Sum of Strike_Rate" numFmtId="0" hierarchy="55" level="32767"/>
    <cacheField name="[Measures].[Sum of Economy]" caption="Sum of Economy" numFmtId="0" hierarchy="59" level="32767"/>
    <cacheField name="[fact_match].[Venue_Name].[Venue_Name]" caption="Venue_Name" numFmtId="0" hierarchy="37" level="1">
      <sharedItems containsSemiMixedTypes="0" containsNonDate="0" containsString="0"/>
    </cacheField>
  </cacheFields>
  <cacheHierarchies count="80">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fieldsUsage count="2">
        <fieldUsage x="-1"/>
        <fieldUsage x="1"/>
      </fieldsUsage>
    </cacheHierarchy>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2"/>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9"/>
      </fieldsUsage>
    </cacheHierarchy>
    <cacheHierarchy uniqueName="[fact_match].[Home_Player]" caption="Home_Player" attribute="1" defaultMemberUniqueName="[fact_match].[Home_Player].[All]" allUniqueName="[fact_match].[Home_Player].[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Sum of Runs]" caption="Sum of Runs" measure="1" displayFolder="" measureGroup="fact_player" count="0" oneField="1">
      <fieldsUsage count="1">
        <fieldUsage x="3"/>
      </fieldsUsage>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oneField="1">
      <fieldsUsage count="1">
        <fieldUsage x="4"/>
      </fieldsUsage>
      <extLst>
        <ext xmlns:x15="http://schemas.microsoft.com/office/spreadsheetml/2010/11/main" uri="{B97F6D7D-B522-45F9-BDA1-12C45D357490}">
          <x15:cacheHierarchy aggregatedColumn="43"/>
        </ext>
      </extLst>
    </cacheHierarchy>
    <cacheHierarchy uniqueName="[Measures].[Sum of Fours]" caption="Sum of Fours" measure="1" displayFolder="" measureGroup="fact_player" count="0">
      <extLst>
        <ext xmlns:x15="http://schemas.microsoft.com/office/spreadsheetml/2010/11/main" uri="{B97F6D7D-B522-45F9-BDA1-12C45D357490}">
          <x15:cacheHierarchy aggregatedColumn="44"/>
        </ext>
      </extLst>
    </cacheHierarchy>
    <cacheHierarchy uniqueName="[Measures].[Sum of Sixes]" caption="Sum of Sixes" measure="1" displayFolder="" measureGroup="fact_player" count="0">
      <extLst>
        <ext xmlns:x15="http://schemas.microsoft.com/office/spreadsheetml/2010/11/main" uri="{B97F6D7D-B522-45F9-BDA1-12C45D357490}">
          <x15:cacheHierarchy aggregatedColumn="45"/>
        </ext>
      </extLst>
    </cacheHierarchy>
    <cacheHierarchy uniqueName="[Measures].[Sum of Strike_Rate]" caption="Sum of Strike_Rate" measure="1" displayFolder="" measureGroup="fact_player" count="0" oneField="1">
      <fieldsUsage count="1">
        <fieldUsage x="7"/>
      </fieldsUsage>
      <extLst>
        <ext xmlns:x15="http://schemas.microsoft.com/office/spreadsheetml/2010/11/main" uri="{B97F6D7D-B522-45F9-BDA1-12C45D357490}">
          <x15:cacheHierarchy aggregatedColumn="46"/>
        </ext>
      </extLst>
    </cacheHierarchy>
    <cacheHierarchy uniqueName="[Measures].[Sum of Overs_Bowled]" caption="Sum of Overs_Bowled" measure="1" displayFolder="" measureGroup="fact_player" count="0">
      <extLst>
        <ext xmlns:x15="http://schemas.microsoft.com/office/spreadsheetml/2010/11/main" uri="{B97F6D7D-B522-45F9-BDA1-12C45D357490}">
          <x15:cacheHierarchy aggregatedColumn="47"/>
        </ext>
      </extLst>
    </cacheHierarchy>
    <cacheHierarchy uniqueName="[Measures].[Sum of Wickets]" caption="Sum of Wickets" measure="1" displayFolder="" measureGroup="fact_player" count="0" oneField="1">
      <fieldsUsage count="1">
        <fieldUsage x="5"/>
      </fieldsUsage>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oneField="1">
      <fieldsUsage count="1">
        <fieldUsage x="6"/>
      </fieldsUsage>
      <extLst>
        <ext xmlns:x15="http://schemas.microsoft.com/office/spreadsheetml/2010/11/main" uri="{B97F6D7D-B522-45F9-BDA1-12C45D357490}">
          <x15:cacheHierarchy aggregatedColumn="48"/>
        </ext>
      </extLst>
    </cacheHierarchy>
    <cacheHierarchy uniqueName="[Measures].[Sum of Economy]" caption="Sum of Economy" measure="1" displayFolder="" measureGroup="fact_player" count="0" oneField="1">
      <fieldsUsage count="1">
        <fieldUsage x="8"/>
      </fieldsUsage>
      <extLst>
        <ext xmlns:x15="http://schemas.microsoft.com/office/spreadsheetml/2010/11/main" uri="{B97F6D7D-B522-45F9-BDA1-12C45D357490}">
          <x15:cacheHierarchy aggregatedColumn="50"/>
        </ext>
      </extLst>
    </cacheHierarchy>
    <cacheHierarchy uniqueName="[Measures].[Sum of Total_Runs]" caption="Sum of Total_Runs" measure="1" displayFolder="" measureGroup="fact_match" count="0">
      <extLst>
        <ext xmlns:x15="http://schemas.microsoft.com/office/spreadsheetml/2010/11/main" uri="{B97F6D7D-B522-45F9-BDA1-12C45D357490}">
          <x15:cacheHierarchy aggregatedColumn="33"/>
        </ext>
      </extLst>
    </cacheHierarchy>
    <cacheHierarchy uniqueName="[Measures].[Count of Match_ID]" caption="Count of Match_ID" measure="1" displayFolder="" measureGroup="fact_match" count="0">
      <extLst>
        <ext xmlns:x15="http://schemas.microsoft.com/office/spreadsheetml/2010/11/main" uri="{B97F6D7D-B522-45F9-BDA1-12C45D357490}">
          <x15:cacheHierarchy aggregatedColumn="19"/>
        </ext>
      </extLst>
    </cacheHierarchy>
    <cacheHierarchy uniqueName="[Measures].[Sum of Win_Margin]" caption="Sum of Win_Margin" measure="1" displayFolder="" measureGroup="fact_match" count="0">
      <extLst>
        <ext xmlns:x15="http://schemas.microsoft.com/office/spreadsheetml/2010/11/main" uri="{B97F6D7D-B522-45F9-BDA1-12C45D357490}">
          <x15:cacheHierarchy aggregatedColumn="34"/>
        </ext>
      </extLst>
    </cacheHierarchy>
    <cacheHierarchy uniqueName="[Measures].[Count of Team_ID]" caption="Count of Team_ID" measure="1" displayFolder="" measureGroup="dim_team" count="0">
      <extLst>
        <ext xmlns:x15="http://schemas.microsoft.com/office/spreadsheetml/2010/11/main" uri="{B97F6D7D-B522-45F9-BDA1-12C45D357490}">
          <x15:cacheHierarchy aggregatedColumn="8"/>
        </ext>
      </extLst>
    </cacheHierarchy>
    <cacheHierarchy uniqueName="[Measures].[TotalMatch]" caption="TotalMatch"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Totalwin]" caption="Totalwin" measure="1" displayFolder="" measureGroup="fact_player"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51.924026157409" backgroundQuery="1" createdVersion="6" refreshedVersion="6" minRefreshableVersion="3" recordCount="0" supportSubquery="1" supportAdvancedDrill="1" xr:uid="{003603D4-AAEF-4F4D-B626-810F58568E93}">
  <cacheSource type="external" connectionId="6"/>
  <cacheFields count="6">
    <cacheField name="[dim_team].[Team_Name].[Team_Name]" caption="Team_Name" numFmtId="0" hierarchy="9" level="1">
      <sharedItems containsBlank="1" count="9">
        <s v="Chennai Super Kings (CSK)"/>
        <s v="Delhi Capitals (DC)"/>
        <s v="Kolkata Knight Riders (KKR)"/>
        <s v="Mumbai Indians (MI)"/>
        <s v="Punjab Kings (PBKS)"/>
        <s v="Rajasthan Royals (RR)"/>
        <s v="Royal Challengers Bengaluru (RCB)"/>
        <s v="Sunrisers Hyderabad (SRH)"/>
        <m/>
      </sharedItems>
    </cacheField>
    <cacheField name="[Measures].[TotalMatch]" caption="TotalMatch" numFmtId="0" hierarchy="64" level="32767"/>
    <cacheField name="[Measures].[TeamWins]" caption="TeamWins" numFmtId="0" hierarchy="71" level="32767"/>
    <cacheField name="[Measures].[TotalRuns]" caption="TotalRuns" numFmtId="0" hierarchy="65" level="32767"/>
    <cacheField name="[Measures].[TotalWickets]" caption="TotalWickets" numFmtId="0" hierarchy="66" level="32767"/>
    <cacheField name="[fact_match].[Venue_Name].[Venue_Name]" caption="Venue_Name" numFmtId="0" hierarchy="37" level="1">
      <sharedItems containsSemiMixedTypes="0" containsNonDate="0" containsString="0"/>
    </cacheField>
  </cacheFields>
  <cacheHierarchies count="80">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5"/>
      </fieldsUsage>
    </cacheHierarchy>
    <cacheHierarchy uniqueName="[fact_match].[Home_Player]" caption="Home_Player" attribute="1" defaultMemberUniqueName="[fact_match].[Home_Player].[All]" allUniqueName="[fact_match].[Home_Player].[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Sum of Runs]" caption="Sum of Runs" measure="1" displayFolder="" measureGroup="fact_player" count="0">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extLst>
        <ext xmlns:x15="http://schemas.microsoft.com/office/spreadsheetml/2010/11/main" uri="{B97F6D7D-B522-45F9-BDA1-12C45D357490}">
          <x15:cacheHierarchy aggregatedColumn="43"/>
        </ext>
      </extLst>
    </cacheHierarchy>
    <cacheHierarchy uniqueName="[Measures].[Sum of Fours]" caption="Sum of Fours" measure="1" displayFolder="" measureGroup="fact_player" count="0">
      <extLst>
        <ext xmlns:x15="http://schemas.microsoft.com/office/spreadsheetml/2010/11/main" uri="{B97F6D7D-B522-45F9-BDA1-12C45D357490}">
          <x15:cacheHierarchy aggregatedColumn="44"/>
        </ext>
      </extLst>
    </cacheHierarchy>
    <cacheHierarchy uniqueName="[Measures].[Sum of Sixes]" caption="Sum of Sixes" measure="1" displayFolder="" measureGroup="fact_player" count="0">
      <extLst>
        <ext xmlns:x15="http://schemas.microsoft.com/office/spreadsheetml/2010/11/main" uri="{B97F6D7D-B522-45F9-BDA1-12C45D357490}">
          <x15:cacheHierarchy aggregatedColumn="45"/>
        </ext>
      </extLst>
    </cacheHierarchy>
    <cacheHierarchy uniqueName="[Measures].[Sum of Strike_Rate]" caption="Sum of Strike_Rate" measure="1" displayFolder="" measureGroup="fact_player" count="0">
      <extLst>
        <ext xmlns:x15="http://schemas.microsoft.com/office/spreadsheetml/2010/11/main" uri="{B97F6D7D-B522-45F9-BDA1-12C45D357490}">
          <x15:cacheHierarchy aggregatedColumn="46"/>
        </ext>
      </extLst>
    </cacheHierarchy>
    <cacheHierarchy uniqueName="[Measures].[Sum of Overs_Bowled]" caption="Sum of Overs_Bowled" measure="1" displayFolder="" measureGroup="fact_player" count="0">
      <extLst>
        <ext xmlns:x15="http://schemas.microsoft.com/office/spreadsheetml/2010/11/main" uri="{B97F6D7D-B522-45F9-BDA1-12C45D357490}">
          <x15:cacheHierarchy aggregatedColumn="47"/>
        </ext>
      </extLst>
    </cacheHierarchy>
    <cacheHierarchy uniqueName="[Measures].[Sum of Wickets]" caption="Sum of Wickets" measure="1" displayFolder="" measureGroup="fact_player" count="0">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extLst>
        <ext xmlns:x15="http://schemas.microsoft.com/office/spreadsheetml/2010/11/main" uri="{B97F6D7D-B522-45F9-BDA1-12C45D357490}">
          <x15:cacheHierarchy aggregatedColumn="48"/>
        </ext>
      </extLst>
    </cacheHierarchy>
    <cacheHierarchy uniqueName="[Measures].[Sum of Economy]" caption="Sum of Economy" measure="1" displayFolder="" measureGroup="fact_player" count="0">
      <extLst>
        <ext xmlns:x15="http://schemas.microsoft.com/office/spreadsheetml/2010/11/main" uri="{B97F6D7D-B522-45F9-BDA1-12C45D357490}">
          <x15:cacheHierarchy aggregatedColumn="50"/>
        </ext>
      </extLst>
    </cacheHierarchy>
    <cacheHierarchy uniqueName="[Measures].[Sum of Total_Runs]" caption="Sum of Total_Runs" measure="1" displayFolder="" measureGroup="fact_match" count="0">
      <extLst>
        <ext xmlns:x15="http://schemas.microsoft.com/office/spreadsheetml/2010/11/main" uri="{B97F6D7D-B522-45F9-BDA1-12C45D357490}">
          <x15:cacheHierarchy aggregatedColumn="33"/>
        </ext>
      </extLst>
    </cacheHierarchy>
    <cacheHierarchy uniqueName="[Measures].[Count of Match_ID]" caption="Count of Match_ID" measure="1" displayFolder="" measureGroup="fact_match" count="0">
      <extLst>
        <ext xmlns:x15="http://schemas.microsoft.com/office/spreadsheetml/2010/11/main" uri="{B97F6D7D-B522-45F9-BDA1-12C45D357490}">
          <x15:cacheHierarchy aggregatedColumn="19"/>
        </ext>
      </extLst>
    </cacheHierarchy>
    <cacheHierarchy uniqueName="[Measures].[Sum of Win_Margin]" caption="Sum of Win_Margin" measure="1" displayFolder="" measureGroup="fact_match" count="0">
      <extLst>
        <ext xmlns:x15="http://schemas.microsoft.com/office/spreadsheetml/2010/11/main" uri="{B97F6D7D-B522-45F9-BDA1-12C45D357490}">
          <x15:cacheHierarchy aggregatedColumn="34"/>
        </ext>
      </extLst>
    </cacheHierarchy>
    <cacheHierarchy uniqueName="[Measures].[Count of Team_ID]" caption="Count of Team_ID" measure="1" displayFolder="" measureGroup="dim_team" count="0">
      <extLst>
        <ext xmlns:x15="http://schemas.microsoft.com/office/spreadsheetml/2010/11/main" uri="{B97F6D7D-B522-45F9-BDA1-12C45D357490}">
          <x15:cacheHierarchy aggregatedColumn="8"/>
        </ext>
      </extLst>
    </cacheHierarchy>
    <cacheHierarchy uniqueName="[Measures].[TotalMatch]" caption="TotalMatch" measure="1" displayFolder="" measureGroup="fact_match" count="0" oneField="1">
      <fieldsUsage count="1">
        <fieldUsage x="1"/>
      </fieldsUsage>
    </cacheHierarchy>
    <cacheHierarchy uniqueName="[Measures].[TotalRuns]" caption="TotalRuns" measure="1" displayFolder="" measureGroup="fact_match" count="0" oneField="1">
      <fieldsUsage count="1">
        <fieldUsage x="3"/>
      </fieldsUsage>
    </cacheHierarchy>
    <cacheHierarchy uniqueName="[Measures].[TotalWickets]" caption="TotalWickets" measure="1" displayFolder="" measureGroup="fact_match" count="0" oneField="1">
      <fieldsUsage count="1">
        <fieldUsage x="4"/>
      </fieldsUsage>
    </cacheHierarchy>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oneField="1">
      <fieldsUsage count="1">
        <fieldUsage x="2"/>
      </fieldsUsage>
    </cacheHierarchy>
    <cacheHierarchy uniqueName="[Measures].[Win%]" caption="Win%" measure="1" displayFolder="" measureGroup="fact_match" count="0"/>
    <cacheHierarchy uniqueName="[Measures].[Totalwin]" caption="Totalwin" measure="1" displayFolder="" measureGroup="fact_player"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51.924026504632" backgroundQuery="1" createdVersion="6" refreshedVersion="6" minRefreshableVersion="3" recordCount="0" supportSubquery="1" supportAdvancedDrill="1" xr:uid="{3806C4C8-7580-4CC8-90F6-8F537D08B118}">
  <cacheSource type="external" connectionId="6"/>
  <cacheFields count="3">
    <cacheField name="[dim_team].[Team_Name].[Team_Name]" caption="Team_Name" numFmtId="0" hierarchy="9" level="1">
      <sharedItems containsBlank="1" count="9">
        <s v="Chennai Super Kings (CSK)"/>
        <s v="Delhi Capitals (DC)"/>
        <s v="Kolkata Knight Riders (KKR)"/>
        <s v="Mumbai Indians (MI)"/>
        <s v="Punjab Kings (PBKS)"/>
        <s v="Rajasthan Royals (RR)"/>
        <s v="Royal Challengers Bengaluru (RCB)"/>
        <s v="Sunrisers Hyderabad (SRH)"/>
        <m/>
      </sharedItems>
    </cacheField>
    <cacheField name="[Measures].[TeamWins]" caption="TeamWins" numFmtId="0" hierarchy="71" level="32767"/>
    <cacheField name="[fact_match].[Venue_Name].[Venue_Name]" caption="Venue_Name" numFmtId="0" hierarchy="37" level="1">
      <sharedItems containsSemiMixedTypes="0" containsNonDate="0" containsString="0"/>
    </cacheField>
  </cacheFields>
  <cacheHierarchies count="80">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2"/>
      </fieldsUsage>
    </cacheHierarchy>
    <cacheHierarchy uniqueName="[fact_match].[Home_Player]" caption="Home_Player" attribute="1" defaultMemberUniqueName="[fact_match].[Home_Player].[All]" allUniqueName="[fact_match].[Home_Player].[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Sum of Runs]" caption="Sum of Runs" measure="1" displayFolder="" measureGroup="fact_player" count="0">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extLst>
        <ext xmlns:x15="http://schemas.microsoft.com/office/spreadsheetml/2010/11/main" uri="{B97F6D7D-B522-45F9-BDA1-12C45D357490}">
          <x15:cacheHierarchy aggregatedColumn="43"/>
        </ext>
      </extLst>
    </cacheHierarchy>
    <cacheHierarchy uniqueName="[Measures].[Sum of Fours]" caption="Sum of Fours" measure="1" displayFolder="" measureGroup="fact_player" count="0">
      <extLst>
        <ext xmlns:x15="http://schemas.microsoft.com/office/spreadsheetml/2010/11/main" uri="{B97F6D7D-B522-45F9-BDA1-12C45D357490}">
          <x15:cacheHierarchy aggregatedColumn="44"/>
        </ext>
      </extLst>
    </cacheHierarchy>
    <cacheHierarchy uniqueName="[Measures].[Sum of Sixes]" caption="Sum of Sixes" measure="1" displayFolder="" measureGroup="fact_player" count="0">
      <extLst>
        <ext xmlns:x15="http://schemas.microsoft.com/office/spreadsheetml/2010/11/main" uri="{B97F6D7D-B522-45F9-BDA1-12C45D357490}">
          <x15:cacheHierarchy aggregatedColumn="45"/>
        </ext>
      </extLst>
    </cacheHierarchy>
    <cacheHierarchy uniqueName="[Measures].[Sum of Strike_Rate]" caption="Sum of Strike_Rate" measure="1" displayFolder="" measureGroup="fact_player" count="0">
      <extLst>
        <ext xmlns:x15="http://schemas.microsoft.com/office/spreadsheetml/2010/11/main" uri="{B97F6D7D-B522-45F9-BDA1-12C45D357490}">
          <x15:cacheHierarchy aggregatedColumn="46"/>
        </ext>
      </extLst>
    </cacheHierarchy>
    <cacheHierarchy uniqueName="[Measures].[Sum of Overs_Bowled]" caption="Sum of Overs_Bowled" measure="1" displayFolder="" measureGroup="fact_player" count="0">
      <extLst>
        <ext xmlns:x15="http://schemas.microsoft.com/office/spreadsheetml/2010/11/main" uri="{B97F6D7D-B522-45F9-BDA1-12C45D357490}">
          <x15:cacheHierarchy aggregatedColumn="47"/>
        </ext>
      </extLst>
    </cacheHierarchy>
    <cacheHierarchy uniqueName="[Measures].[Sum of Wickets]" caption="Sum of Wickets" measure="1" displayFolder="" measureGroup="fact_player" count="0">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extLst>
        <ext xmlns:x15="http://schemas.microsoft.com/office/spreadsheetml/2010/11/main" uri="{B97F6D7D-B522-45F9-BDA1-12C45D357490}">
          <x15:cacheHierarchy aggregatedColumn="48"/>
        </ext>
      </extLst>
    </cacheHierarchy>
    <cacheHierarchy uniqueName="[Measures].[Sum of Economy]" caption="Sum of Economy" measure="1" displayFolder="" measureGroup="fact_player" count="0">
      <extLst>
        <ext xmlns:x15="http://schemas.microsoft.com/office/spreadsheetml/2010/11/main" uri="{B97F6D7D-B522-45F9-BDA1-12C45D357490}">
          <x15:cacheHierarchy aggregatedColumn="50"/>
        </ext>
      </extLst>
    </cacheHierarchy>
    <cacheHierarchy uniqueName="[Measures].[Sum of Total_Runs]" caption="Sum of Total_Runs" measure="1" displayFolder="" measureGroup="fact_match" count="0">
      <extLst>
        <ext xmlns:x15="http://schemas.microsoft.com/office/spreadsheetml/2010/11/main" uri="{B97F6D7D-B522-45F9-BDA1-12C45D357490}">
          <x15:cacheHierarchy aggregatedColumn="33"/>
        </ext>
      </extLst>
    </cacheHierarchy>
    <cacheHierarchy uniqueName="[Measures].[Count of Match_ID]" caption="Count of Match_ID" measure="1" displayFolder="" measureGroup="fact_match" count="0">
      <extLst>
        <ext xmlns:x15="http://schemas.microsoft.com/office/spreadsheetml/2010/11/main" uri="{B97F6D7D-B522-45F9-BDA1-12C45D357490}">
          <x15:cacheHierarchy aggregatedColumn="19"/>
        </ext>
      </extLst>
    </cacheHierarchy>
    <cacheHierarchy uniqueName="[Measures].[Sum of Win_Margin]" caption="Sum of Win_Margin" measure="1" displayFolder="" measureGroup="fact_match" count="0">
      <extLst>
        <ext xmlns:x15="http://schemas.microsoft.com/office/spreadsheetml/2010/11/main" uri="{B97F6D7D-B522-45F9-BDA1-12C45D357490}">
          <x15:cacheHierarchy aggregatedColumn="34"/>
        </ext>
      </extLst>
    </cacheHierarchy>
    <cacheHierarchy uniqueName="[Measures].[Count of Team_ID]" caption="Count of Team_ID" measure="1" displayFolder="" measureGroup="dim_team" count="0">
      <extLst>
        <ext xmlns:x15="http://schemas.microsoft.com/office/spreadsheetml/2010/11/main" uri="{B97F6D7D-B522-45F9-BDA1-12C45D357490}">
          <x15:cacheHierarchy aggregatedColumn="8"/>
        </ext>
      </extLst>
    </cacheHierarchy>
    <cacheHierarchy uniqueName="[Measures].[TotalMatch]" caption="TotalMatch"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oneField="1">
      <fieldsUsage count="1">
        <fieldUsage x="1"/>
      </fieldsUsage>
    </cacheHierarchy>
    <cacheHierarchy uniqueName="[Measures].[Win%]" caption="Win%" measure="1" displayFolder="" measureGroup="fact_match" count="0"/>
    <cacheHierarchy uniqueName="[Measures].[Totalwin]" caption="Totalwin" measure="1" displayFolder="" measureGroup="fact_player"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51.924027199071" backgroundQuery="1" createdVersion="6" refreshedVersion="6" minRefreshableVersion="3" recordCount="0" supportSubquery="1" supportAdvancedDrill="1" xr:uid="{59D3BF38-C219-4C62-BB70-18EB6D947003}">
  <cacheSource type="external" connectionId="6"/>
  <cacheFields count="5">
    <cacheField name="[Measures].[TotalRuns]" caption="TotalRuns" numFmtId="0" hierarchy="65" level="32767"/>
    <cacheField name="[Measures].[TotalWickets]" caption="TotalWickets" numFmtId="0" hierarchy="66" level="32767"/>
    <cacheField name="[Measures].[TotalMatch]" caption="TotalMatch" numFmtId="0" hierarchy="64" level="32767"/>
    <cacheField name="[Measures].[Totalwin]" caption="Totalwin" numFmtId="0" hierarchy="73" level="32767"/>
    <cacheField name="[fact_match].[Venue_Name].[Venue_Name]" caption="Venue_Name" numFmtId="0" hierarchy="37" level="1">
      <sharedItems containsSemiMixedTypes="0" containsNonDate="0" containsString="0"/>
    </cacheField>
  </cacheFields>
  <cacheHierarchies count="80">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4"/>
      </fieldsUsage>
    </cacheHierarchy>
    <cacheHierarchy uniqueName="[fact_match].[Home_Player]" caption="Home_Player" attribute="1" defaultMemberUniqueName="[fact_match].[Home_Player].[All]" allUniqueName="[fact_match].[Home_Player].[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Sum of Runs]" caption="Sum of Runs" measure="1" displayFolder="" measureGroup="fact_player" count="0">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extLst>
        <ext xmlns:x15="http://schemas.microsoft.com/office/spreadsheetml/2010/11/main" uri="{B97F6D7D-B522-45F9-BDA1-12C45D357490}">
          <x15:cacheHierarchy aggregatedColumn="43"/>
        </ext>
      </extLst>
    </cacheHierarchy>
    <cacheHierarchy uniqueName="[Measures].[Sum of Fours]" caption="Sum of Fours" measure="1" displayFolder="" measureGroup="fact_player" count="0">
      <extLst>
        <ext xmlns:x15="http://schemas.microsoft.com/office/spreadsheetml/2010/11/main" uri="{B97F6D7D-B522-45F9-BDA1-12C45D357490}">
          <x15:cacheHierarchy aggregatedColumn="44"/>
        </ext>
      </extLst>
    </cacheHierarchy>
    <cacheHierarchy uniqueName="[Measures].[Sum of Sixes]" caption="Sum of Sixes" measure="1" displayFolder="" measureGroup="fact_player" count="0">
      <extLst>
        <ext xmlns:x15="http://schemas.microsoft.com/office/spreadsheetml/2010/11/main" uri="{B97F6D7D-B522-45F9-BDA1-12C45D357490}">
          <x15:cacheHierarchy aggregatedColumn="45"/>
        </ext>
      </extLst>
    </cacheHierarchy>
    <cacheHierarchy uniqueName="[Measures].[Sum of Strike_Rate]" caption="Sum of Strike_Rate" measure="1" displayFolder="" measureGroup="fact_player" count="0">
      <extLst>
        <ext xmlns:x15="http://schemas.microsoft.com/office/spreadsheetml/2010/11/main" uri="{B97F6D7D-B522-45F9-BDA1-12C45D357490}">
          <x15:cacheHierarchy aggregatedColumn="46"/>
        </ext>
      </extLst>
    </cacheHierarchy>
    <cacheHierarchy uniqueName="[Measures].[Sum of Overs_Bowled]" caption="Sum of Overs_Bowled" measure="1" displayFolder="" measureGroup="fact_player" count="0">
      <extLst>
        <ext xmlns:x15="http://schemas.microsoft.com/office/spreadsheetml/2010/11/main" uri="{B97F6D7D-B522-45F9-BDA1-12C45D357490}">
          <x15:cacheHierarchy aggregatedColumn="47"/>
        </ext>
      </extLst>
    </cacheHierarchy>
    <cacheHierarchy uniqueName="[Measures].[Sum of Wickets]" caption="Sum of Wickets" measure="1" displayFolder="" measureGroup="fact_player" count="0">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extLst>
        <ext xmlns:x15="http://schemas.microsoft.com/office/spreadsheetml/2010/11/main" uri="{B97F6D7D-B522-45F9-BDA1-12C45D357490}">
          <x15:cacheHierarchy aggregatedColumn="48"/>
        </ext>
      </extLst>
    </cacheHierarchy>
    <cacheHierarchy uniqueName="[Measures].[Sum of Economy]" caption="Sum of Economy" measure="1" displayFolder="" measureGroup="fact_player" count="0">
      <extLst>
        <ext xmlns:x15="http://schemas.microsoft.com/office/spreadsheetml/2010/11/main" uri="{B97F6D7D-B522-45F9-BDA1-12C45D357490}">
          <x15:cacheHierarchy aggregatedColumn="50"/>
        </ext>
      </extLst>
    </cacheHierarchy>
    <cacheHierarchy uniqueName="[Measures].[Sum of Total_Runs]" caption="Sum of Total_Runs" measure="1" displayFolder="" measureGroup="fact_match" count="0">
      <extLst>
        <ext xmlns:x15="http://schemas.microsoft.com/office/spreadsheetml/2010/11/main" uri="{B97F6D7D-B522-45F9-BDA1-12C45D357490}">
          <x15:cacheHierarchy aggregatedColumn="33"/>
        </ext>
      </extLst>
    </cacheHierarchy>
    <cacheHierarchy uniqueName="[Measures].[Count of Match_ID]" caption="Count of Match_ID" measure="1" displayFolder="" measureGroup="fact_match" count="0">
      <extLst>
        <ext xmlns:x15="http://schemas.microsoft.com/office/spreadsheetml/2010/11/main" uri="{B97F6D7D-B522-45F9-BDA1-12C45D357490}">
          <x15:cacheHierarchy aggregatedColumn="19"/>
        </ext>
      </extLst>
    </cacheHierarchy>
    <cacheHierarchy uniqueName="[Measures].[Sum of Win_Margin]" caption="Sum of Win_Margin" measure="1" displayFolder="" measureGroup="fact_match" count="0">
      <extLst>
        <ext xmlns:x15="http://schemas.microsoft.com/office/spreadsheetml/2010/11/main" uri="{B97F6D7D-B522-45F9-BDA1-12C45D357490}">
          <x15:cacheHierarchy aggregatedColumn="34"/>
        </ext>
      </extLst>
    </cacheHierarchy>
    <cacheHierarchy uniqueName="[Measures].[Count of Team_ID]" caption="Count of Team_ID" measure="1" displayFolder="" measureGroup="dim_team" count="0">
      <extLst>
        <ext xmlns:x15="http://schemas.microsoft.com/office/spreadsheetml/2010/11/main" uri="{B97F6D7D-B522-45F9-BDA1-12C45D357490}">
          <x15:cacheHierarchy aggregatedColumn="8"/>
        </ext>
      </extLst>
    </cacheHierarchy>
    <cacheHierarchy uniqueName="[Measures].[TotalMatch]" caption="TotalMatch" measure="1" displayFolder="" measureGroup="fact_match" count="0" oneField="1">
      <fieldsUsage count="1">
        <fieldUsage x="2"/>
      </fieldsUsage>
    </cacheHierarchy>
    <cacheHierarchy uniqueName="[Measures].[TotalRuns]" caption="TotalRuns" measure="1" displayFolder="" measureGroup="fact_match" count="0" oneField="1">
      <fieldsUsage count="1">
        <fieldUsage x="0"/>
      </fieldsUsage>
    </cacheHierarchy>
    <cacheHierarchy uniqueName="[Measures].[TotalWickets]" caption="TotalWickets" measure="1" displayFolder="" measureGroup="fact_match" count="0" oneField="1">
      <fieldsUsage count="1">
        <fieldUsage x="1"/>
      </fieldsUsage>
    </cacheHierarchy>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Totalwin]" caption="Totalwin" measure="1" displayFolder="" measureGroup="fact_player" count="0" oneField="1">
      <fieldsUsage count="1">
        <fieldUsage x="3"/>
      </fieldsUsage>
    </cacheHierarchy>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51.925765740743" backgroundQuery="1" createdVersion="6" refreshedVersion="6" minRefreshableVersion="3" recordCount="0" supportSubquery="1" supportAdvancedDrill="1" xr:uid="{C85D981A-3AAA-47CC-B5E4-585CBF0BAE7C}">
  <cacheSource type="external" connectionId="6"/>
  <cacheFields count="2">
    <cacheField name="[dim_team].[Team_Name].[Team_Name]" caption="Team_Name" numFmtId="0" hierarchy="9" level="1">
      <sharedItems count="8">
        <s v="Chennai Super Kings (CSK)"/>
        <s v="Delhi Capitals (DC)"/>
        <s v="Kolkata Knight Riders (KKR)"/>
        <s v="Mumbai Indians (MI)"/>
        <s v="Punjab Kings (PBKS)"/>
        <s v="Rajasthan Royals (RR)"/>
        <s v="Royal Challengers Bengaluru (RCB)"/>
        <s v="Sunrisers Hyderabad (SRH)"/>
      </sharedItems>
    </cacheField>
    <cacheField name="[Measures].[TotalRuns]" caption="TotalRuns" numFmtId="0" hierarchy="65" level="32767"/>
  </cacheFields>
  <cacheHierarchies count="80">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2"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cacheHierarchy uniqueName="[fact_match].[Home_Player]" caption="Home_Player" attribute="1" defaultMemberUniqueName="[fact_match].[Home_Player].[All]" allUniqueName="[fact_match].[Home_Player].[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Sum of Runs]" caption="Sum of Runs" measure="1" displayFolder="" measureGroup="fact_player" count="0">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extLst>
        <ext xmlns:x15="http://schemas.microsoft.com/office/spreadsheetml/2010/11/main" uri="{B97F6D7D-B522-45F9-BDA1-12C45D357490}">
          <x15:cacheHierarchy aggregatedColumn="43"/>
        </ext>
      </extLst>
    </cacheHierarchy>
    <cacheHierarchy uniqueName="[Measures].[Sum of Fours]" caption="Sum of Fours" measure="1" displayFolder="" measureGroup="fact_player" count="0">
      <extLst>
        <ext xmlns:x15="http://schemas.microsoft.com/office/spreadsheetml/2010/11/main" uri="{B97F6D7D-B522-45F9-BDA1-12C45D357490}">
          <x15:cacheHierarchy aggregatedColumn="44"/>
        </ext>
      </extLst>
    </cacheHierarchy>
    <cacheHierarchy uniqueName="[Measures].[Sum of Sixes]" caption="Sum of Sixes" measure="1" displayFolder="" measureGroup="fact_player" count="0">
      <extLst>
        <ext xmlns:x15="http://schemas.microsoft.com/office/spreadsheetml/2010/11/main" uri="{B97F6D7D-B522-45F9-BDA1-12C45D357490}">
          <x15:cacheHierarchy aggregatedColumn="45"/>
        </ext>
      </extLst>
    </cacheHierarchy>
    <cacheHierarchy uniqueName="[Measures].[Sum of Strike_Rate]" caption="Sum of Strike_Rate" measure="1" displayFolder="" measureGroup="fact_player" count="0">
      <extLst>
        <ext xmlns:x15="http://schemas.microsoft.com/office/spreadsheetml/2010/11/main" uri="{B97F6D7D-B522-45F9-BDA1-12C45D357490}">
          <x15:cacheHierarchy aggregatedColumn="46"/>
        </ext>
      </extLst>
    </cacheHierarchy>
    <cacheHierarchy uniqueName="[Measures].[Sum of Overs_Bowled]" caption="Sum of Overs_Bowled" measure="1" displayFolder="" measureGroup="fact_player" count="0">
      <extLst>
        <ext xmlns:x15="http://schemas.microsoft.com/office/spreadsheetml/2010/11/main" uri="{B97F6D7D-B522-45F9-BDA1-12C45D357490}">
          <x15:cacheHierarchy aggregatedColumn="47"/>
        </ext>
      </extLst>
    </cacheHierarchy>
    <cacheHierarchy uniqueName="[Measures].[Sum of Wickets]" caption="Sum of Wickets" measure="1" displayFolder="" measureGroup="fact_player" count="0">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extLst>
        <ext xmlns:x15="http://schemas.microsoft.com/office/spreadsheetml/2010/11/main" uri="{B97F6D7D-B522-45F9-BDA1-12C45D357490}">
          <x15:cacheHierarchy aggregatedColumn="48"/>
        </ext>
      </extLst>
    </cacheHierarchy>
    <cacheHierarchy uniqueName="[Measures].[Sum of Economy]" caption="Sum of Economy" measure="1" displayFolder="" measureGroup="fact_player" count="0">
      <extLst>
        <ext xmlns:x15="http://schemas.microsoft.com/office/spreadsheetml/2010/11/main" uri="{B97F6D7D-B522-45F9-BDA1-12C45D357490}">
          <x15:cacheHierarchy aggregatedColumn="50"/>
        </ext>
      </extLst>
    </cacheHierarchy>
    <cacheHierarchy uniqueName="[Measures].[Sum of Total_Runs]" caption="Sum of Total_Runs" measure="1" displayFolder="" measureGroup="fact_match" count="0">
      <extLst>
        <ext xmlns:x15="http://schemas.microsoft.com/office/spreadsheetml/2010/11/main" uri="{B97F6D7D-B522-45F9-BDA1-12C45D357490}">
          <x15:cacheHierarchy aggregatedColumn="33"/>
        </ext>
      </extLst>
    </cacheHierarchy>
    <cacheHierarchy uniqueName="[Measures].[Count of Match_ID]" caption="Count of Match_ID" measure="1" displayFolder="" measureGroup="fact_match" count="0">
      <extLst>
        <ext xmlns:x15="http://schemas.microsoft.com/office/spreadsheetml/2010/11/main" uri="{B97F6D7D-B522-45F9-BDA1-12C45D357490}">
          <x15:cacheHierarchy aggregatedColumn="19"/>
        </ext>
      </extLst>
    </cacheHierarchy>
    <cacheHierarchy uniqueName="[Measures].[Sum of Win_Margin]" caption="Sum of Win_Margin" measure="1" displayFolder="" measureGroup="fact_match" count="0">
      <extLst>
        <ext xmlns:x15="http://schemas.microsoft.com/office/spreadsheetml/2010/11/main" uri="{B97F6D7D-B522-45F9-BDA1-12C45D357490}">
          <x15:cacheHierarchy aggregatedColumn="34"/>
        </ext>
      </extLst>
    </cacheHierarchy>
    <cacheHierarchy uniqueName="[Measures].[Count of Team_ID]" caption="Count of Team_ID" measure="1" displayFolder="" measureGroup="dim_team" count="0">
      <extLst>
        <ext xmlns:x15="http://schemas.microsoft.com/office/spreadsheetml/2010/11/main" uri="{B97F6D7D-B522-45F9-BDA1-12C45D357490}">
          <x15:cacheHierarchy aggregatedColumn="8"/>
        </ext>
      </extLst>
    </cacheHierarchy>
    <cacheHierarchy uniqueName="[Measures].[TotalMatch]" caption="TotalMatch" measure="1" displayFolder="" measureGroup="fact_match" count="0"/>
    <cacheHierarchy uniqueName="[Measures].[TotalRuns]" caption="TotalRuns" measure="1" displayFolder="" measureGroup="fact_match" count="0" oneField="1">
      <fieldsUsage count="1">
        <fieldUsage x="1"/>
      </fieldsUsage>
    </cacheHierarchy>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Totalwin]" caption="Totalwin" measure="1" displayFolder="" measureGroup="fact_player"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51.907169212966" backgroundQuery="1" createdVersion="3" refreshedVersion="6" minRefreshableVersion="3" recordCount="0" supportSubquery="1" supportAdvancedDrill="1" xr:uid="{B6BC7185-A61C-44AF-B668-911E4CA56013}">
  <cacheSource type="external" connectionId="6">
    <extLst>
      <ext xmlns:x14="http://schemas.microsoft.com/office/spreadsheetml/2009/9/main" uri="{F057638F-6D5F-4e77-A914-E7F072B9BCA8}">
        <x14:sourceConnection name="ThisWorkbookDataModel"/>
      </ext>
    </extLst>
  </cacheSource>
  <cacheFields count="0"/>
  <cacheHierarchies count="80">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cacheHierarchy uniqueName="[fact_match].[Home_Player]" caption="Home_Player" attribute="1" defaultMemberUniqueName="[fact_match].[Home_Player].[All]" allUniqueName="[fact_match].[Home_Player].[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Sum of Runs]" caption="Sum of Runs" measure="1" displayFolder="" measureGroup="fact_player" count="0">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extLst>
        <ext xmlns:x15="http://schemas.microsoft.com/office/spreadsheetml/2010/11/main" uri="{B97F6D7D-B522-45F9-BDA1-12C45D357490}">
          <x15:cacheHierarchy aggregatedColumn="43"/>
        </ext>
      </extLst>
    </cacheHierarchy>
    <cacheHierarchy uniqueName="[Measures].[Sum of Fours]" caption="Sum of Fours" measure="1" displayFolder="" measureGroup="fact_player" count="0">
      <extLst>
        <ext xmlns:x15="http://schemas.microsoft.com/office/spreadsheetml/2010/11/main" uri="{B97F6D7D-B522-45F9-BDA1-12C45D357490}">
          <x15:cacheHierarchy aggregatedColumn="44"/>
        </ext>
      </extLst>
    </cacheHierarchy>
    <cacheHierarchy uniqueName="[Measures].[Sum of Sixes]" caption="Sum of Sixes" measure="1" displayFolder="" measureGroup="fact_player" count="0">
      <extLst>
        <ext xmlns:x15="http://schemas.microsoft.com/office/spreadsheetml/2010/11/main" uri="{B97F6D7D-B522-45F9-BDA1-12C45D357490}">
          <x15:cacheHierarchy aggregatedColumn="45"/>
        </ext>
      </extLst>
    </cacheHierarchy>
    <cacheHierarchy uniqueName="[Measures].[Sum of Strike_Rate]" caption="Sum of Strike_Rate" measure="1" displayFolder="" measureGroup="fact_player" count="0">
      <extLst>
        <ext xmlns:x15="http://schemas.microsoft.com/office/spreadsheetml/2010/11/main" uri="{B97F6D7D-B522-45F9-BDA1-12C45D357490}">
          <x15:cacheHierarchy aggregatedColumn="46"/>
        </ext>
      </extLst>
    </cacheHierarchy>
    <cacheHierarchy uniqueName="[Measures].[Sum of Overs_Bowled]" caption="Sum of Overs_Bowled" measure="1" displayFolder="" measureGroup="fact_player" count="0">
      <extLst>
        <ext xmlns:x15="http://schemas.microsoft.com/office/spreadsheetml/2010/11/main" uri="{B97F6D7D-B522-45F9-BDA1-12C45D357490}">
          <x15:cacheHierarchy aggregatedColumn="47"/>
        </ext>
      </extLst>
    </cacheHierarchy>
    <cacheHierarchy uniqueName="[Measures].[Sum of Wickets]" caption="Sum of Wickets" measure="1" displayFolder="" measureGroup="fact_player" count="0">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extLst>
        <ext xmlns:x15="http://schemas.microsoft.com/office/spreadsheetml/2010/11/main" uri="{B97F6D7D-B522-45F9-BDA1-12C45D357490}">
          <x15:cacheHierarchy aggregatedColumn="48"/>
        </ext>
      </extLst>
    </cacheHierarchy>
    <cacheHierarchy uniqueName="[Measures].[Sum of Economy]" caption="Sum of Economy" measure="1" displayFolder="" measureGroup="fact_player" count="0">
      <extLst>
        <ext xmlns:x15="http://schemas.microsoft.com/office/spreadsheetml/2010/11/main" uri="{B97F6D7D-B522-45F9-BDA1-12C45D357490}">
          <x15:cacheHierarchy aggregatedColumn="50"/>
        </ext>
      </extLst>
    </cacheHierarchy>
    <cacheHierarchy uniqueName="[Measures].[Sum of Total_Runs]" caption="Sum of Total_Runs" measure="1" displayFolder="" measureGroup="fact_match" count="0">
      <extLst>
        <ext xmlns:x15="http://schemas.microsoft.com/office/spreadsheetml/2010/11/main" uri="{B97F6D7D-B522-45F9-BDA1-12C45D357490}">
          <x15:cacheHierarchy aggregatedColumn="33"/>
        </ext>
      </extLst>
    </cacheHierarchy>
    <cacheHierarchy uniqueName="[Measures].[Count of Match_ID]" caption="Count of Match_ID" measure="1" displayFolder="" measureGroup="fact_match" count="0">
      <extLst>
        <ext xmlns:x15="http://schemas.microsoft.com/office/spreadsheetml/2010/11/main" uri="{B97F6D7D-B522-45F9-BDA1-12C45D357490}">
          <x15:cacheHierarchy aggregatedColumn="19"/>
        </ext>
      </extLst>
    </cacheHierarchy>
    <cacheHierarchy uniqueName="[Measures].[Sum of Win_Margin]" caption="Sum of Win_Margin" measure="1" displayFolder="" measureGroup="fact_match" count="0">
      <extLst>
        <ext xmlns:x15="http://schemas.microsoft.com/office/spreadsheetml/2010/11/main" uri="{B97F6D7D-B522-45F9-BDA1-12C45D357490}">
          <x15:cacheHierarchy aggregatedColumn="34"/>
        </ext>
      </extLst>
    </cacheHierarchy>
    <cacheHierarchy uniqueName="[Measures].[Count of Team_ID]" caption="Count of Team_ID" measure="1" displayFolder="" measureGroup="dim_team" count="0">
      <extLst>
        <ext xmlns:x15="http://schemas.microsoft.com/office/spreadsheetml/2010/11/main" uri="{B97F6D7D-B522-45F9-BDA1-12C45D357490}">
          <x15:cacheHierarchy aggregatedColumn="8"/>
        </ext>
      </extLst>
    </cacheHierarchy>
    <cacheHierarchy uniqueName="[Measures].[TotalMatch]" caption="TotalMatch"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Totalwin]" caption="Totalwin" measure="1" displayFolder="" measureGroup="fact_player"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2474935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E6CA6D-22F1-49D5-80F0-A053FE998B0E}" name="PivotTable3" cacheId="1035" applyNumberFormats="0" applyBorderFormats="0" applyFontFormats="0" applyPatternFormats="0" applyAlignmentFormats="0" applyWidthHeightFormats="1" dataCaption="Values" tag="c9f7be22-c4a6-4ad4-ad9e-928b615db256" updatedVersion="6" minRefreshableVersion="3" useAutoFormatting="1" subtotalHiddenItems="1" itemPrintTitles="1" createdVersion="6" indent="0" outline="1" outlineData="1" multipleFieldFilters="0" rowHeaderCaption="Player | Team | Role Name">
  <location ref="A3:G37" firstHeaderRow="0" firstDataRow="1" firstDataCol="1"/>
  <pivotFields count="10">
    <pivotField axis="axisRow" allDrilled="1" subtotalTop="0" showAll="0" dataSourceSort="1" defaultSubtotal="0">
      <items count="33">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s>
    </pivotField>
    <pivotField axis="axisRow" allDrilled="1" subtotalTop="0" showAll="0" dataSourceSort="1" defaultSubtotal="0" defaultAttributeDrillState="1">
      <items count="1">
        <item x="0" e="0"/>
      </items>
    </pivotField>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3">
    <field x="0"/>
    <field x="1"/>
    <field x="2"/>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Fields count="1">
    <field x="-2"/>
  </colFields>
  <colItems count="6">
    <i>
      <x/>
    </i>
    <i i="1">
      <x v="1"/>
    </i>
    <i i="2">
      <x v="2"/>
    </i>
    <i i="3">
      <x v="3"/>
    </i>
    <i i="4">
      <x v="4"/>
    </i>
    <i i="5">
      <x v="5"/>
    </i>
  </colItems>
  <dataFields count="6">
    <dataField name="Total Runs" fld="3" baseField="0" baseItem="0"/>
    <dataField name="Balls_Faced" fld="4" baseField="0" baseItem="0"/>
    <dataField name="Total Wickets" fld="5" baseField="0" baseItem="0"/>
    <dataField name="Runs_Conceded" fld="6" baseField="0" baseItem="0"/>
    <dataField name="Strike_Rate" fld="7" baseField="0" baseItem="0"/>
    <dataField name="Economy" fld="8"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uns"/>
    <pivotHierarchy dragToData="1" caption="Balls_Faced"/>
    <pivotHierarchy dragToData="1"/>
    <pivotHierarchy dragToData="1"/>
    <pivotHierarchy dragToData="1" caption="Strike_Rate"/>
    <pivotHierarchy dragToData="1"/>
    <pivotHierarchy dragToData="1" caption="Total Wickets"/>
    <pivotHierarchy dragToData="1" caption="Runs_Conceded"/>
    <pivotHierarchy dragToData="1" caption="Econom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1"/>
    <rowHierarchyUsage hierarchyUsage="3"/>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layer]"/>
        <x15:activeTabTopLevelEntity name="[dim_team]"/>
        <x15:activeTabTopLevelEntity name="[fact_player]"/>
        <x15:activeTabTopLevelEntity name="[fact_mat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C11AFB-CA6F-41F4-9812-BE1DA38C9C4F}" name="PivotTable3" cacheId="1047" dataOnRows="1" applyNumberFormats="0" applyBorderFormats="0" applyFontFormats="0" applyPatternFormats="0" applyAlignmentFormats="0" applyWidthHeightFormats="1" dataCaption="Values" tag="827ed9bc-e467-4120-88cc-1801fa682626" updatedVersion="6" minRefreshableVersion="3" useAutoFormatting="1" subtotalHiddenItems="1" itemPrintTitles="1" createdVersion="6" indent="0" outline="1" outlineData="1" multipleFieldFilters="0" chartFormat="5">
  <location ref="P6:Q10" firstHeaderRow="1" firstDataRow="1" firstDataCol="1"/>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4">
    <i>
      <x/>
    </i>
    <i i="1">
      <x v="1"/>
    </i>
    <i i="2">
      <x v="2"/>
    </i>
    <i i="3">
      <x v="3"/>
    </i>
  </rowItems>
  <colItems count="1">
    <i/>
  </colItems>
  <dataFields count="4">
    <dataField fld="0" subtotal="count" baseField="0" baseItem="0"/>
    <dataField fld="1" subtotal="count" baseField="0" baseItem="0"/>
    <dataField fld="2" subtotal="count" baseField="0" baseItem="0"/>
    <dataField fld="3" subtotal="count"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Runs"/>
    <pivotHierarchy dragToRow="0" dragToCol="0" dragToPage="0" dragToData="1" caption="Total Wicke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team]"/>
        <x15:activeTabTopLevelEntity name="[fact_match]"/>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C2D702-7EDF-4097-A204-63FFD5CC8FFD}" name="PivotTable4" cacheId="1053" applyNumberFormats="0" applyBorderFormats="0" applyFontFormats="0" applyPatternFormats="0" applyAlignmentFormats="0" applyWidthHeightFormats="1" dataCaption="Values" tag="7eb71992-7e41-43d3-af5b-d51b108ab3e6" updatedVersion="6" minRefreshableVersion="3" useAutoFormatting="1" subtotalHiddenItems="1" itemPrintTitles="1" createdVersion="6" indent="0" outline="1" outlineData="1" multipleFieldFilters="0" chartFormat="5">
  <location ref="J5:K14" firstHeaderRow="1" firstDataRow="1" firstDataCol="1"/>
  <pivotFields count="2">
    <pivotField axis="axisRow" allDrilled="1" subtotalTop="0" showAll="0" defaultSubtotal="0" defaultAttributeDrillState="1">
      <items count="8">
        <item x="3"/>
        <item x="0"/>
        <item x="1"/>
        <item x="2"/>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fld="1" subtotal="count"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Runs"/>
    <pivotHierarchy dragToRow="0" dragToCol="0" dragToPage="0" dragToData="1" caption="Total Wicke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team]"/>
        <x15:activeTabTopLevelEntity name="[fact_match]"/>
        <x15:activeTabTopLevelEntity name="[dim_ven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7337C7-82A9-4B7D-9A9E-B98F928F80BD}" name="PivotTable2" cacheId="1041" applyNumberFormats="0" applyBorderFormats="0" applyFontFormats="0" applyPatternFormats="0" applyAlignmentFormats="0" applyWidthHeightFormats="1" dataCaption="Values" tag="05e798a2-b079-4595-a7ca-b1c5d0a10041" updatedVersion="6" minRefreshableVersion="3" useAutoFormatting="1" subtotalHiddenItems="1" itemPrintTitles="1" createdVersion="6" indent="0" outline="1" outlineData="1" multipleFieldFilters="0" chartFormat="4">
  <location ref="A16:B26"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Total Wins" fld="1" subtotal="count" baseField="0" baseItem="0"/>
  </dataFields>
  <formats count="1">
    <format dxfId="44">
      <pivotArea field="0" grandRow="1" outline="0" collapsedLevelsAreSubtotals="1" axis="axisRow"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Runs"/>
    <pivotHierarchy dragToRow="0" dragToCol="0" dragToPage="0" dragToData="1" caption="Total Wicke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team]"/>
        <x15:activeTabTopLevelEntity name="[fact_mat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8FD734-0E44-4809-8FD3-C5DBE5E24A94}" name="PivotTable1" cacheId="1038" applyNumberFormats="0" applyBorderFormats="0" applyFontFormats="0" applyPatternFormats="0" applyAlignmentFormats="0" applyWidthHeightFormats="1" dataCaption="Values" tag="c1d1eb26-1d56-4d99-bc07-0298372466d5" updatedVersion="6" minRefreshableVersion="3" useAutoFormatting="1" subtotalHiddenItems="1" itemPrintTitles="1" createdVersion="6" indent="0" outline="1" outlineData="1" multipleFieldFilters="0">
  <location ref="A3:E13" firstHeaderRow="0" firstDataRow="1" firstDataCol="1"/>
  <pivotFields count="6">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Fields count="1">
    <field x="-2"/>
  </colFields>
  <colItems count="4">
    <i>
      <x/>
    </i>
    <i i="1">
      <x v="1"/>
    </i>
    <i i="2">
      <x v="2"/>
    </i>
    <i i="3">
      <x v="3"/>
    </i>
  </colItems>
  <dataFields count="4">
    <dataField fld="1" subtotal="count" baseField="0" baseItem="0"/>
    <dataField name="Total Wins" fld="2" subtotal="count" baseField="0" baseItem="0"/>
    <dataField name="Total Runs" fld="3" subtotal="count" baseField="0" baseItem="0"/>
    <dataField name="Total Wickets" fld="4" subtotal="count" baseField="0" baseItem="0"/>
  </dataFields>
  <formats count="1">
    <format dxfId="45">
      <pivotArea field="0" grandRow="1" outline="0" collapsedLevelsAreSubtotals="1" axis="axisRow" fieldPosition="0">
        <references count="1">
          <reference field="4294967294" count="1" selected="0">
            <x v="1"/>
          </reference>
        </references>
      </pivotArea>
    </format>
  </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Runs"/>
    <pivotHierarchy dragToRow="0" dragToCol="0" dragToPage="0" dragToData="1" caption="Total Wicke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team]"/>
        <x15:activeTabTopLevelEntity name="[fact_mat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16CC2B-52E2-43A5-9F78-4DABAB823394}" name="PivotTable5" cacheId="1032" applyNumberFormats="0" applyBorderFormats="0" applyFontFormats="0" applyPatternFormats="0" applyAlignmentFormats="0" applyWidthHeightFormats="1" dataCaption="Values" tag="bbde2fd2-c861-4d35-9815-291c1cb9f61b" updatedVersion="6" minRefreshableVersion="3" useAutoFormatting="1" subtotalHiddenItems="1" itemPrintTitles="1" createdVersion="6" indent="0" outline="1" outlineData="1" multipleFieldFilters="0" chartFormat="8">
  <location ref="M10:N35" firstHeaderRow="1" firstDataRow="1" firstDataCol="1"/>
  <pivotFields count="4">
    <pivotField axis="axisRow" allDrilled="1" subtotalTop="0" showAll="0" dataSourceSort="1" defaultSubtotal="0" defaultAttributeDrillState="1">
      <items count="8">
        <item x="0"/>
        <item x="1"/>
        <item x="2"/>
        <item x="3"/>
        <item x="4"/>
        <item x="5"/>
        <item x="6"/>
        <item x="7"/>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2">
    <field x="0"/>
    <field x="1"/>
  </rowFields>
  <rowItems count="25">
    <i>
      <x/>
    </i>
    <i r="1">
      <x/>
    </i>
    <i r="1">
      <x v="1"/>
    </i>
    <i>
      <x v="1"/>
    </i>
    <i r="1">
      <x/>
    </i>
    <i r="1">
      <x v="1"/>
    </i>
    <i>
      <x v="2"/>
    </i>
    <i r="1">
      <x/>
    </i>
    <i r="1">
      <x v="1"/>
    </i>
    <i>
      <x v="3"/>
    </i>
    <i r="1">
      <x/>
    </i>
    <i r="1">
      <x v="1"/>
    </i>
    <i>
      <x v="4"/>
    </i>
    <i r="1">
      <x/>
    </i>
    <i r="1">
      <x v="1"/>
    </i>
    <i>
      <x v="5"/>
    </i>
    <i r="1">
      <x/>
    </i>
    <i r="1">
      <x v="1"/>
    </i>
    <i>
      <x v="6"/>
    </i>
    <i r="1">
      <x/>
    </i>
    <i r="1">
      <x v="1"/>
    </i>
    <i>
      <x v="7"/>
    </i>
    <i r="1">
      <x/>
    </i>
    <i r="1">
      <x v="1"/>
    </i>
    <i t="grand">
      <x/>
    </i>
  </rowItems>
  <colItems count="1">
    <i/>
  </colItems>
  <dataFields count="1">
    <dataField name="Win Type" fld="2" subtotal="count" baseField="0" baseItem="0"/>
  </dataFields>
  <chartFormats count="40">
    <chartFormat chart="4" format="0"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0" count="1" selected="0">
            <x v="0"/>
          </reference>
        </references>
      </pivotArea>
    </chartFormat>
    <chartFormat chart="7" format="12">
      <pivotArea type="data" outline="0" fieldPosition="0">
        <references count="2">
          <reference field="4294967294" count="1" selected="0">
            <x v="0"/>
          </reference>
          <reference field="0" count="1" selected="0">
            <x v="1"/>
          </reference>
        </references>
      </pivotArea>
    </chartFormat>
    <chartFormat chart="7" format="13">
      <pivotArea type="data" outline="0" fieldPosition="0">
        <references count="2">
          <reference field="4294967294" count="1" selected="0">
            <x v="0"/>
          </reference>
          <reference field="0" count="1" selected="0">
            <x v="2"/>
          </reference>
        </references>
      </pivotArea>
    </chartFormat>
    <chartFormat chart="7" format="14">
      <pivotArea type="data" outline="0" fieldPosition="0">
        <references count="2">
          <reference field="4294967294" count="1" selected="0">
            <x v="0"/>
          </reference>
          <reference field="0" count="1" selected="0">
            <x v="3"/>
          </reference>
        </references>
      </pivotArea>
    </chartFormat>
    <chartFormat chart="7" format="15">
      <pivotArea type="data" outline="0" fieldPosition="0">
        <references count="2">
          <reference field="4294967294" count="1" selected="0">
            <x v="0"/>
          </reference>
          <reference field="0" count="1" selected="0">
            <x v="4"/>
          </reference>
        </references>
      </pivotArea>
    </chartFormat>
    <chartFormat chart="7" format="16">
      <pivotArea type="data" outline="0" fieldPosition="0">
        <references count="2">
          <reference field="4294967294" count="1" selected="0">
            <x v="0"/>
          </reference>
          <reference field="0" count="1" selected="0">
            <x v="5"/>
          </reference>
        </references>
      </pivotArea>
    </chartFormat>
    <chartFormat chart="7" format="17">
      <pivotArea type="data" outline="0" fieldPosition="0">
        <references count="2">
          <reference field="4294967294" count="1" selected="0">
            <x v="0"/>
          </reference>
          <reference field="0" count="1" selected="0">
            <x v="6"/>
          </reference>
        </references>
      </pivotArea>
    </chartFormat>
    <chartFormat chart="7" format="18">
      <pivotArea type="data" outline="0" fieldPosition="0">
        <references count="2">
          <reference field="4294967294" count="1" selected="0">
            <x v="0"/>
          </reference>
          <reference field="0" count="1" selected="0">
            <x v="7"/>
          </reference>
        </references>
      </pivotArea>
    </chartFormat>
    <chartFormat chart="7" format="19">
      <pivotArea type="data" outline="0" fieldPosition="0">
        <references count="3">
          <reference field="4294967294" count="1" selected="0">
            <x v="0"/>
          </reference>
          <reference field="0" count="1" selected="0">
            <x v="1"/>
          </reference>
          <reference field="1" count="1" selected="0">
            <x v="0"/>
          </reference>
        </references>
      </pivotArea>
    </chartFormat>
    <chartFormat chart="7" format="20">
      <pivotArea type="data" outline="0" fieldPosition="0">
        <references count="3">
          <reference field="4294967294" count="1" selected="0">
            <x v="0"/>
          </reference>
          <reference field="0" count="1" selected="0">
            <x v="1"/>
          </reference>
          <reference field="1" count="1" selected="0">
            <x v="1"/>
          </reference>
        </references>
      </pivotArea>
    </chartFormat>
    <chartFormat chart="7" format="21">
      <pivotArea type="data" outline="0" fieldPosition="0">
        <references count="3">
          <reference field="4294967294" count="1" selected="0">
            <x v="0"/>
          </reference>
          <reference field="0" count="1" selected="0">
            <x v="2"/>
          </reference>
          <reference field="1" count="1" selected="0">
            <x v="0"/>
          </reference>
        </references>
      </pivotArea>
    </chartFormat>
    <chartFormat chart="7" format="22">
      <pivotArea type="data" outline="0" fieldPosition="0">
        <references count="3">
          <reference field="4294967294" count="1" selected="0">
            <x v="0"/>
          </reference>
          <reference field="0" count="1" selected="0">
            <x v="2"/>
          </reference>
          <reference field="1" count="1" selected="0">
            <x v="1"/>
          </reference>
        </references>
      </pivotArea>
    </chartFormat>
    <chartFormat chart="7" format="23">
      <pivotArea type="data" outline="0" fieldPosition="0">
        <references count="3">
          <reference field="4294967294" count="1" selected="0">
            <x v="0"/>
          </reference>
          <reference field="0" count="1" selected="0">
            <x v="3"/>
          </reference>
          <reference field="1" count="1" selected="0">
            <x v="0"/>
          </reference>
        </references>
      </pivotArea>
    </chartFormat>
    <chartFormat chart="7" format="24">
      <pivotArea type="data" outline="0" fieldPosition="0">
        <references count="3">
          <reference field="4294967294" count="1" selected="0">
            <x v="0"/>
          </reference>
          <reference field="0" count="1" selected="0">
            <x v="3"/>
          </reference>
          <reference field="1" count="1" selected="0">
            <x v="1"/>
          </reference>
        </references>
      </pivotArea>
    </chartFormat>
    <chartFormat chart="7" format="25">
      <pivotArea type="data" outline="0" fieldPosition="0">
        <references count="3">
          <reference field="4294967294" count="1" selected="0">
            <x v="0"/>
          </reference>
          <reference field="0" count="1" selected="0">
            <x v="4"/>
          </reference>
          <reference field="1" count="1" selected="0">
            <x v="0"/>
          </reference>
        </references>
      </pivotArea>
    </chartFormat>
    <chartFormat chart="7" format="26">
      <pivotArea type="data" outline="0" fieldPosition="0">
        <references count="3">
          <reference field="4294967294" count="1" selected="0">
            <x v="0"/>
          </reference>
          <reference field="0" count="1" selected="0">
            <x v="4"/>
          </reference>
          <reference field="1" count="1" selected="0">
            <x v="1"/>
          </reference>
        </references>
      </pivotArea>
    </chartFormat>
    <chartFormat chart="7" format="27">
      <pivotArea type="data" outline="0" fieldPosition="0">
        <references count="3">
          <reference field="4294967294" count="1" selected="0">
            <x v="0"/>
          </reference>
          <reference field="0" count="1" selected="0">
            <x v="5"/>
          </reference>
          <reference field="1" count="1" selected="0">
            <x v="0"/>
          </reference>
        </references>
      </pivotArea>
    </chartFormat>
    <chartFormat chart="7" format="28">
      <pivotArea type="data" outline="0" fieldPosition="0">
        <references count="3">
          <reference field="4294967294" count="1" selected="0">
            <x v="0"/>
          </reference>
          <reference field="0" count="1" selected="0">
            <x v="5"/>
          </reference>
          <reference field="1" count="1" selected="0">
            <x v="1"/>
          </reference>
        </references>
      </pivotArea>
    </chartFormat>
    <chartFormat chart="7" format="29">
      <pivotArea type="data" outline="0" fieldPosition="0">
        <references count="3">
          <reference field="4294967294" count="1" selected="0">
            <x v="0"/>
          </reference>
          <reference field="0" count="1" selected="0">
            <x v="6"/>
          </reference>
          <reference field="1" count="1" selected="0">
            <x v="0"/>
          </reference>
        </references>
      </pivotArea>
    </chartFormat>
    <chartFormat chart="7" format="30">
      <pivotArea type="data" outline="0" fieldPosition="0">
        <references count="3">
          <reference field="4294967294" count="1" selected="0">
            <x v="0"/>
          </reference>
          <reference field="0" count="1" selected="0">
            <x v="6"/>
          </reference>
          <reference field="1" count="1" selected="0">
            <x v="1"/>
          </reference>
        </references>
      </pivotArea>
    </chartFormat>
    <chartFormat chart="7" format="31">
      <pivotArea type="data" outline="0" fieldPosition="0">
        <references count="3">
          <reference field="4294967294" count="1" selected="0">
            <x v="0"/>
          </reference>
          <reference field="0" count="1" selected="0">
            <x v="7"/>
          </reference>
          <reference field="1" count="1" selected="0">
            <x v="0"/>
          </reference>
        </references>
      </pivotArea>
    </chartFormat>
    <chartFormat chart="7" format="32">
      <pivotArea type="data" outline="0" fieldPosition="0">
        <references count="3">
          <reference field="4294967294" count="1" selected="0">
            <x v="0"/>
          </reference>
          <reference field="0" count="1" selected="0">
            <x v="7"/>
          </reference>
          <reference field="1" count="1" selected="0">
            <x v="1"/>
          </reference>
        </references>
      </pivotArea>
    </chartFormat>
    <chartFormat chart="4" format="1">
      <pivotArea type="data" outline="0" fieldPosition="0">
        <references count="3">
          <reference field="4294967294" count="1" selected="0">
            <x v="0"/>
          </reference>
          <reference field="0" count="1" selected="0">
            <x v="0"/>
          </reference>
          <reference field="1" count="1" selected="0">
            <x v="0"/>
          </reference>
        </references>
      </pivotArea>
    </chartFormat>
    <chartFormat chart="4" format="2">
      <pivotArea type="data" outline="0" fieldPosition="0">
        <references count="3">
          <reference field="4294967294" count="1" selected="0">
            <x v="0"/>
          </reference>
          <reference field="0" count="1" selected="0">
            <x v="0"/>
          </reference>
          <reference field="1" count="1" selected="0">
            <x v="1"/>
          </reference>
        </references>
      </pivotArea>
    </chartFormat>
    <chartFormat chart="4" format="3">
      <pivotArea type="data" outline="0" fieldPosition="0">
        <references count="3">
          <reference field="4294967294" count="1" selected="0">
            <x v="0"/>
          </reference>
          <reference field="0" count="1" selected="0">
            <x v="1"/>
          </reference>
          <reference field="1" count="1" selected="0">
            <x v="0"/>
          </reference>
        </references>
      </pivotArea>
    </chartFormat>
    <chartFormat chart="4" format="4">
      <pivotArea type="data" outline="0" fieldPosition="0">
        <references count="3">
          <reference field="4294967294" count="1" selected="0">
            <x v="0"/>
          </reference>
          <reference field="0" count="1" selected="0">
            <x v="1"/>
          </reference>
          <reference field="1" count="1" selected="0">
            <x v="1"/>
          </reference>
        </references>
      </pivotArea>
    </chartFormat>
    <chartFormat chart="4" format="5">
      <pivotArea type="data" outline="0" fieldPosition="0">
        <references count="3">
          <reference field="4294967294" count="1" selected="0">
            <x v="0"/>
          </reference>
          <reference field="0" count="1" selected="0">
            <x v="2"/>
          </reference>
          <reference field="1" count="1" selected="0">
            <x v="0"/>
          </reference>
        </references>
      </pivotArea>
    </chartFormat>
    <chartFormat chart="4" format="6">
      <pivotArea type="data" outline="0" fieldPosition="0">
        <references count="3">
          <reference field="4294967294" count="1" selected="0">
            <x v="0"/>
          </reference>
          <reference field="0" count="1" selected="0">
            <x v="2"/>
          </reference>
          <reference field="1" count="1" selected="0">
            <x v="1"/>
          </reference>
        </references>
      </pivotArea>
    </chartFormat>
    <chartFormat chart="4" format="7">
      <pivotArea type="data" outline="0" fieldPosition="0">
        <references count="3">
          <reference field="4294967294" count="1" selected="0">
            <x v="0"/>
          </reference>
          <reference field="0" count="1" selected="0">
            <x v="3"/>
          </reference>
          <reference field="1" count="1" selected="0">
            <x v="0"/>
          </reference>
        </references>
      </pivotArea>
    </chartFormat>
    <chartFormat chart="4" format="8">
      <pivotArea type="data" outline="0" fieldPosition="0">
        <references count="3">
          <reference field="4294967294" count="1" selected="0">
            <x v="0"/>
          </reference>
          <reference field="0" count="1" selected="0">
            <x v="3"/>
          </reference>
          <reference field="1" count="1" selected="0">
            <x v="1"/>
          </reference>
        </references>
      </pivotArea>
    </chartFormat>
    <chartFormat chart="4" format="9">
      <pivotArea type="data" outline="0" fieldPosition="0">
        <references count="3">
          <reference field="4294967294" count="1" selected="0">
            <x v="0"/>
          </reference>
          <reference field="0" count="1" selected="0">
            <x v="4"/>
          </reference>
          <reference field="1" count="1" selected="0">
            <x v="0"/>
          </reference>
        </references>
      </pivotArea>
    </chartFormat>
    <chartFormat chart="4" format="10">
      <pivotArea type="data" outline="0" fieldPosition="0">
        <references count="3">
          <reference field="4294967294" count="1" selected="0">
            <x v="0"/>
          </reference>
          <reference field="0" count="1" selected="0">
            <x v="4"/>
          </reference>
          <reference field="1" count="1" selected="0">
            <x v="1"/>
          </reference>
        </references>
      </pivotArea>
    </chartFormat>
    <chartFormat chart="4" format="11">
      <pivotArea type="data" outline="0" fieldPosition="0">
        <references count="3">
          <reference field="4294967294" count="1" selected="0">
            <x v="0"/>
          </reference>
          <reference field="0" count="1" selected="0">
            <x v="5"/>
          </reference>
          <reference field="1" count="1" selected="0">
            <x v="0"/>
          </reference>
        </references>
      </pivotArea>
    </chartFormat>
    <chartFormat chart="4" format="12">
      <pivotArea type="data" outline="0" fieldPosition="0">
        <references count="3">
          <reference field="4294967294" count="1" selected="0">
            <x v="0"/>
          </reference>
          <reference field="0" count="1" selected="0">
            <x v="5"/>
          </reference>
          <reference field="1" count="1" selected="0">
            <x v="1"/>
          </reference>
        </references>
      </pivotArea>
    </chartFormat>
    <chartFormat chart="4" format="13">
      <pivotArea type="data" outline="0" fieldPosition="0">
        <references count="3">
          <reference field="4294967294" count="1" selected="0">
            <x v="0"/>
          </reference>
          <reference field="0" count="1" selected="0">
            <x v="6"/>
          </reference>
          <reference field="1" count="1" selected="0">
            <x v="0"/>
          </reference>
        </references>
      </pivotArea>
    </chartFormat>
    <chartFormat chart="4" format="14">
      <pivotArea type="data" outline="0" fieldPosition="0">
        <references count="3">
          <reference field="4294967294" count="1" selected="0">
            <x v="0"/>
          </reference>
          <reference field="0" count="1" selected="0">
            <x v="6"/>
          </reference>
          <reference field="1" count="1" selected="0">
            <x v="1"/>
          </reference>
        </references>
      </pivotArea>
    </chartFormat>
    <chartFormat chart="4" format="15">
      <pivotArea type="data" outline="0" fieldPosition="0">
        <references count="3">
          <reference field="4294967294" count="1" selected="0">
            <x v="0"/>
          </reference>
          <reference field="0" count="1" selected="0">
            <x v="7"/>
          </reference>
          <reference field="1" count="1" selected="0">
            <x v="0"/>
          </reference>
        </references>
      </pivotArea>
    </chartFormat>
    <chartFormat chart="4" format="16">
      <pivotArea type="data" outline="0" fieldPosition="0">
        <references count="3">
          <reference field="4294967294" count="1" selected="0">
            <x v="0"/>
          </reference>
          <reference field="0" count="1" selected="0">
            <x v="7"/>
          </reference>
          <reference field="1" count="1" selected="0">
            <x v="1"/>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Win Type"/>
    <pivotHierarchy dragToData="1"/>
    <pivotHierarchy dragToData="1"/>
    <pivotHierarchy dragToRow="0" dragToCol="0" dragToPage="0" dragToData="1"/>
    <pivotHierarchy dragToRow="0" dragToCol="0" dragToPage="0" dragToData="1" caption="Total Runs"/>
    <pivotHierarchy dragToRow="0" dragToCol="0" dragToPage="0" dragToData="1" caption="Total Wicke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9"/>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team]"/>
        <x15:activeTabTopLevelEntity name="[fact_match]"/>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959908A2-70B2-4005-99C3-C684A3458537}" autoFormatId="16" applyNumberFormats="0" applyBorderFormats="0" applyFontFormats="0" applyPatternFormats="0" applyAlignmentFormats="0" applyWidthHeightFormats="0">
  <queryTableRefresh nextId="12">
    <queryTableFields count="11">
      <queryTableField id="1" name="Match_ID" tableColumnId="1"/>
      <queryTableField id="2" name="Player_ID" tableColumnId="2"/>
      <queryTableField id="3" name="Runs" tableColumnId="3"/>
      <queryTableField id="4" name="Balls_Faced" tableColumnId="4"/>
      <queryTableField id="5" name="Fours" tableColumnId="5"/>
      <queryTableField id="6" name="Sixes" tableColumnId="6"/>
      <queryTableField id="7" name="Strike_Rate" tableColumnId="7"/>
      <queryTableField id="8" name="Overs_Bowled" tableColumnId="8"/>
      <queryTableField id="9" name="Runs_Conceded" tableColumnId="9"/>
      <queryTableField id="10" name="Wickets" tableColumnId="10"/>
      <queryTableField id="11" name="Economy"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4" xr16:uid="{D587DB62-2D95-486F-8967-2AF6DBA54615}" autoFormatId="16" applyNumberFormats="0" applyBorderFormats="0" applyFontFormats="0" applyPatternFormats="0" applyAlignmentFormats="0" applyWidthHeightFormats="0">
  <queryTableRefresh nextId="15">
    <queryTableFields count="14">
      <queryTableField id="1" name="Match_ID" tableColumnId="1"/>
      <queryTableField id="2" name="Date" tableColumnId="2"/>
      <queryTableField id="3" name="Venue_ID" tableColumnId="3"/>
      <queryTableField id="4" name="Team1_ID" tableColumnId="4"/>
      <queryTableField id="5" name="Team2_ID" tableColumnId="5"/>
      <queryTableField id="6" name="Toss_Winner" tableColumnId="6"/>
      <queryTableField id="7" name="Match_Winner" tableColumnId="7"/>
      <queryTableField id="8" name="Man_of_Match" tableColumnId="8"/>
      <queryTableField id="9" name="Team1_Runs" tableColumnId="9"/>
      <queryTableField id="10" name="Team2_Runs" tableColumnId="10"/>
      <queryTableField id="11" name="Team1_Wickets" tableColumnId="11"/>
      <queryTableField id="12" name="Team2_Wickets" tableColumnId="12"/>
      <queryTableField id="13" name="Overs_Team1" tableColumnId="13"/>
      <queryTableField id="14" name="Overs_Team2"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3041F492-5FCB-465E-AC8A-BC107AB9AF65}" autoFormatId="16" applyNumberFormats="0" applyBorderFormats="0" applyFontFormats="0" applyPatternFormats="0" applyAlignmentFormats="0" applyWidthHeightFormats="0">
  <queryTableRefresh nextId="5">
    <queryTableFields count="4">
      <queryTableField id="1" name="Venue_ID" tableColumnId="1"/>
      <queryTableField id="2" name="Venue_Name" tableColumnId="2"/>
      <queryTableField id="3" name="City" tableColumnId="3"/>
      <queryTableField id="4" name="Capacity"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4A91EF94-B28B-4180-BE6C-D2ABE54F6748}" autoFormatId="16" applyNumberFormats="0" applyBorderFormats="0" applyFontFormats="0" applyPatternFormats="0" applyAlignmentFormats="0" applyWidthHeightFormats="0">
  <queryTableRefresh nextId="8">
    <queryTableFields count="7">
      <queryTableField id="1" name="Team_ID" tableColumnId="1"/>
      <queryTableField id="2" name="Team_Name" tableColumnId="2"/>
      <queryTableField id="3" name="Captain" tableColumnId="3"/>
      <queryTableField id="4" name="Coach" tableColumnId="4"/>
      <queryTableField id="5" name="Home_Ground" tableColumnId="5"/>
      <queryTableField id="6" name="City" tableColumnId="6"/>
      <queryTableField id="7" name="Owner"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94D229DF-A693-4AF3-AF6A-5F35EBDA9D52}" autoFormatId="16" applyNumberFormats="0" applyBorderFormats="0" applyFontFormats="0" applyPatternFormats="0" applyAlignmentFormats="0" applyWidthHeightFormats="0">
  <queryTableRefresh nextId="9">
    <queryTableFields count="8">
      <queryTableField id="1" name="Player_ID" tableColumnId="1"/>
      <queryTableField id="2" name="Player_Name" tableColumnId="2"/>
      <queryTableField id="3" name="Team_ID" tableColumnId="3"/>
      <queryTableField id="4" name="Role" tableColumnId="4"/>
      <queryTableField id="5" name="Nationality" tableColumnId="5"/>
      <queryTableField id="6" name="Age" tableColumnId="6"/>
      <queryTableField id="7" name="Batting_Style" tableColumnId="7"/>
      <queryTableField id="8" name="Bowling_Styl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_Name" xr10:uid="{8778D6B5-35E6-4A35-9B82-AFFA3BE6F114}" sourceName="[dim_team].[Team_Name]">
  <pivotTables>
    <pivotTable tabId="7" name="PivotTable5"/>
    <pivotTable tabId="10" name="PivotTable3"/>
    <pivotTable tabId="7" name="PivotTable1"/>
    <pivotTable tabId="7" name="PivotTable2"/>
    <pivotTable tabId="7" name="PivotTable4"/>
    <pivotTable tabId="7" name="PivotTable3"/>
  </pivotTables>
  <data>
    <olap pivotCacheId="2024749355">
      <levels count="2">
        <level uniqueName="[dim_team].[Team_Name].[(All)]" sourceCaption="(All)" count="0"/>
        <level uniqueName="[dim_team].[Team_Name].[Team_Name]" sourceCaption="Team_Name" count="9">
          <ranges>
            <range startItem="0">
              <i n="[dim_team].[Team_Name].&amp;[Chennai Super Kings (CSK)]" c="Chennai Super Kings (CSK)"/>
              <i n="[dim_team].[Team_Name].&amp;[Delhi Capitals (DC)]" c="Delhi Capitals (DC)"/>
              <i n="[dim_team].[Team_Name].&amp;[Kolkata Knight Riders (KKR)]" c="Kolkata Knight Riders (KKR)"/>
              <i n="[dim_team].[Team_Name].&amp;[Mumbai Indians (MI)]" c="Mumbai Indians (MI)"/>
              <i n="[dim_team].[Team_Name].&amp;[Punjab Kings (PBKS)]" c="Punjab Kings (PBKS)"/>
              <i n="[dim_team].[Team_Name].&amp;[Rajasthan Royals (RR)]" c="Rajasthan Royals (RR)"/>
              <i n="[dim_team].[Team_Name].&amp;[Royal Challengers Bengaluru (RCB)]" c="Royal Challengers Bengaluru (RCB)"/>
              <i n="[dim_team].[Team_Name].&amp;[Sunrisers Hyderabad (SRH)]" c="Sunrisers Hyderabad (SRH)"/>
              <i n="[dim_team].[Team_Name].&amp;" c="(blank)"/>
            </range>
          </ranges>
        </level>
      </levels>
      <selections count="1">
        <selection n="[dim_team].[Team_Name].[All]"/>
      </selections>
    </olap>
  </data>
  <extLst>
    <x:ext xmlns:x15="http://schemas.microsoft.com/office/spreadsheetml/2010/11/main" uri="{470722E0-AACD-4C17-9CDC-17EF765DBC7E}">
      <x15:slicerCacheHideItemsWithNoData count="1">
        <x15:slicerCacheOlapLevelName uniqueName="[dim_team].[Team_Name].[Team_Name]"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_Name" xr10:uid="{445EC55D-247C-4FDF-A06F-CF7EFEE2E76A}" sourceName="[fact_match].[Venue_Name]">
  <pivotTables>
    <pivotTable tabId="7" name="PivotTable5"/>
    <pivotTable tabId="10" name="PivotTable3"/>
    <pivotTable tabId="7" name="PivotTable1"/>
    <pivotTable tabId="7" name="PivotTable2"/>
    <pivotTable tabId="7" name="PivotTable4"/>
    <pivotTable tabId="7" name="PivotTable3"/>
  </pivotTables>
  <data>
    <olap pivotCacheId="2024749355">
      <levels count="2">
        <level uniqueName="[fact_match].[Venue_Name].[(All)]" sourceCaption="(All)" count="0"/>
        <level uniqueName="[fact_match].[Venue_Name].[Venue_Name]" sourceCaption="Venue_Name" count="9">
          <ranges>
            <range startItem="0">
              <i n="[fact_match].[Venue_Name].&amp;[Arun Jaitley Stadium]" c="Arun Jaitley Stadium"/>
              <i n="[fact_match].[Venue_Name].&amp;[Eden Gardens]" c="Eden Gardens"/>
              <i n="[fact_match].[Venue_Name].&amp;[M. A. Chidambaram Stadium]" c="M. A. Chidambaram Stadium"/>
              <i n="[fact_match].[Venue_Name].&amp;[M. Chinnaswamy Stadium]" c="M. Chinnaswamy Stadium"/>
              <i n="[fact_match].[Venue_Name].&amp;[Maharaja Yadavindra Singh Int. Cricket Stadium]" c="Maharaja Yadavindra Singh Int. Cricket Stadium"/>
              <i n="[fact_match].[Venue_Name].&amp;[Rajiv Gandhi Int. Stadium]" c="Rajiv Gandhi Int. Stadium"/>
              <i n="[fact_match].[Venue_Name].&amp;[Sawai Mansingh Stadium]" c="Sawai Mansingh Stadium"/>
              <i n="[fact_match].[Venue_Name].&amp;[Wankhede Stadium]" c="Wankhede Stadium"/>
              <i n="[fact_match].[Venue_Name].&amp;" c="(blank)"/>
            </range>
          </ranges>
        </level>
      </levels>
      <selections count="1">
        <selection n="[fact_match].[Venue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_Name" xr10:uid="{6FAA74DF-0044-497C-972E-740EEE914CB6}" cache="Slicer_Team_Name" caption="Team_Name" level="1" rowHeight="234950"/>
  <slicer name="Venue_Name" xr10:uid="{20DF8543-CD71-4AEA-B4F8-CFAFDBB28E99}" cache="Slicer_Venue_Name" caption="Venue_Name"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C111AD8-97E0-4BEF-8D4A-B7699C0AFF18}" name="fact_player" displayName="fact_player" ref="A1:K202" tableType="queryTable" totalsRowShown="0">
  <autoFilter ref="A1:K202" xr:uid="{5CCA80D1-6BE9-474F-8671-32123AA5B8AF}"/>
  <tableColumns count="11">
    <tableColumn id="1" xr3:uid="{D5EDCC55-E00A-48BB-AC18-A0F4A370D0B6}" uniqueName="1" name="Match_ID" queryTableFieldId="1"/>
    <tableColumn id="2" xr3:uid="{11681272-16E1-4AD6-B274-395D9D74024C}" uniqueName="2" name="Player_ID" queryTableFieldId="2"/>
    <tableColumn id="3" xr3:uid="{2A27ADDD-44E3-487B-95F9-2AD82A2A9139}" uniqueName="3" name="Runs" queryTableFieldId="3"/>
    <tableColumn id="4" xr3:uid="{BCA625D6-1796-436D-81EC-AC8E6DF97F87}" uniqueName="4" name="Balls_Faced" queryTableFieldId="4"/>
    <tableColumn id="5" xr3:uid="{0A1DF124-60F4-4A68-B411-2FCBA206EABD}" uniqueName="5" name="Fours" queryTableFieldId="5"/>
    <tableColumn id="6" xr3:uid="{688D93A4-EDAC-45B6-91A6-7750F8FC6D73}" uniqueName="6" name="Sixes" queryTableFieldId="6"/>
    <tableColumn id="7" xr3:uid="{F9B2EE06-71DF-4ED5-8C77-CD13DAF77CD9}" uniqueName="7" name="Strike_Rate" queryTableFieldId="7"/>
    <tableColumn id="8" xr3:uid="{D764A5BD-6968-4762-8DBE-12FB146F94A9}" uniqueName="8" name="Overs_Bowled" queryTableFieldId="8"/>
    <tableColumn id="9" xr3:uid="{AE73C40E-9F6E-4F24-A16E-C99C7DFD667B}" uniqueName="9" name="Runs_Conceded" queryTableFieldId="9"/>
    <tableColumn id="10" xr3:uid="{1AECCD3E-5BCC-4286-8DA3-8246721022F1}" uniqueName="10" name="Wickets" queryTableFieldId="10"/>
    <tableColumn id="11" xr3:uid="{EE3CEAF8-0E1E-4487-9D04-BED346C96AE1}" uniqueName="11" name="Economy" queryTableField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F76E33B-2CE5-43D1-8969-94344B76F777}" name="fact_match" displayName="fact_match" ref="A1:N61" tableType="queryTable" totalsRowShown="0">
  <autoFilter ref="A1:N61" xr:uid="{CAC66F7A-4E9C-4B87-AE39-5F13EDBBAE98}"/>
  <tableColumns count="14">
    <tableColumn id="1" xr3:uid="{F02C55F5-5E8D-498C-A3FF-8B405F09339F}" uniqueName="1" name="Match_ID" queryTableFieldId="1"/>
    <tableColumn id="2" xr3:uid="{96E1B0D8-6D3A-43F9-ACD0-500ED9D78A98}" uniqueName="2" name="Date" queryTableFieldId="2" dataDxfId="46"/>
    <tableColumn id="3" xr3:uid="{3122875F-5A39-4BCC-8B85-9774B069FC4B}" uniqueName="3" name="Venue_ID" queryTableFieldId="3"/>
    <tableColumn id="4" xr3:uid="{142E4D48-3E3F-4187-950E-787A0620F1E6}" uniqueName="4" name="Team1_ID" queryTableFieldId="4"/>
    <tableColumn id="5" xr3:uid="{066ABE11-F2BF-4A0F-A9CE-F48B13DAC9AB}" uniqueName="5" name="Team2_ID" queryTableFieldId="5"/>
    <tableColumn id="6" xr3:uid="{27D40615-4F05-4BE3-B62F-1A5439B217A4}" uniqueName="6" name="Toss_Winner" queryTableFieldId="6"/>
    <tableColumn id="7" xr3:uid="{FB2D65FE-DAFC-420E-AB0B-9A961A8487D3}" uniqueName="7" name="Match_Winner" queryTableFieldId="7"/>
    <tableColumn id="8" xr3:uid="{F816E00E-61A2-46D1-99B0-38F4658AB7C4}" uniqueName="8" name="Man_of_Match" queryTableFieldId="8"/>
    <tableColumn id="9" xr3:uid="{AACD2DCB-B1E0-416F-957B-E72D5B9C7101}" uniqueName="9" name="Team1_Runs" queryTableFieldId="9"/>
    <tableColumn id="10" xr3:uid="{F3DC60C4-7127-4DCA-9596-6EC237485ECB}" uniqueName="10" name="Team2_Runs" queryTableFieldId="10"/>
    <tableColumn id="11" xr3:uid="{682A846F-3F0F-4AE7-9950-E55FEFEE30F2}" uniqueName="11" name="Team1_Wickets" queryTableFieldId="11"/>
    <tableColumn id="12" xr3:uid="{2A82EA14-7E90-45F8-97F6-141A16D4A1D5}" uniqueName="12" name="Team2_Wickets" queryTableFieldId="12"/>
    <tableColumn id="13" xr3:uid="{F719FD7A-C0B3-4DDE-9050-BE53C2BC41DC}" uniqueName="13" name="Overs_Team1" queryTableFieldId="13"/>
    <tableColumn id="14" xr3:uid="{469D0070-4BD8-4B71-AA24-57C9690ABC88}" uniqueName="14" name="Overs_Team2" queryTableField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36ADD6E-48FD-4828-8AD9-0698E0581E56}" name="dim_venue" displayName="dim_venue" ref="A1:D11" tableType="queryTable" totalsRowShown="0">
  <autoFilter ref="A1:D11" xr:uid="{44E114CB-8582-4EF8-A6D9-EC5CCA945DD8}"/>
  <tableColumns count="4">
    <tableColumn id="1" xr3:uid="{3E8992BB-1849-4284-A942-DEA1D37A3F25}" uniqueName="1" name="Venue_ID" queryTableFieldId="1"/>
    <tableColumn id="2" xr3:uid="{C5BB1232-C4B1-4B7C-B71F-6A36E85BE3F7}" uniqueName="2" name="Venue_Name" queryTableFieldId="2"/>
    <tableColumn id="3" xr3:uid="{7F84EA28-A924-4896-83A4-0D778B816F5F}" uniqueName="3" name="City" queryTableFieldId="3"/>
    <tableColumn id="4" xr3:uid="{18A1F5C6-D413-4952-A673-BD667EE3F45C}" uniqueName="4" name="Capacity" queryTableField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38916B-BCF7-4CAD-B462-D8561F24B384}" name="dim_team" displayName="dim_team" ref="A1:G9" tableType="queryTable" totalsRowShown="0">
  <autoFilter ref="A1:G9" xr:uid="{9CB971C0-1584-4C85-986E-FB8D265EE40F}"/>
  <tableColumns count="7">
    <tableColumn id="1" xr3:uid="{57CCCC65-FEEA-4D94-8AB8-823570AE8AC8}" uniqueName="1" name="Team_ID" queryTableFieldId="1"/>
    <tableColumn id="2" xr3:uid="{02ADE9BE-120E-4AB6-AC5C-FB0ABEC2463C}" uniqueName="2" name="Team_Name" queryTableFieldId="2"/>
    <tableColumn id="3" xr3:uid="{28C952E0-FE6A-4D3C-95A0-A91E24AB1583}" uniqueName="3" name="Captain" queryTableFieldId="3"/>
    <tableColumn id="4" xr3:uid="{AC72C705-960B-4F42-93DF-AFF1C37582EE}" uniqueName="4" name="Coach" queryTableFieldId="4"/>
    <tableColumn id="5" xr3:uid="{781BE017-C980-4251-8C44-38552E1540D3}" uniqueName="5" name="Home_Ground" queryTableFieldId="5"/>
    <tableColumn id="6" xr3:uid="{4D239A22-EF49-489B-BA26-286503E13C83}" uniqueName="6" name="City" queryTableFieldId="6"/>
    <tableColumn id="7" xr3:uid="{6A9C8717-D39C-474E-81BE-86C7C7F32392}" uniqueName="7" name="Owner" queryTableFieldId="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000D03-67CA-4989-B4CB-9B8BEAE80C16}" name="dim_player" displayName="dim_player" ref="A1:H34" tableType="queryTable" totalsRowShown="0">
  <autoFilter ref="A1:H34" xr:uid="{EA53D7CE-BB68-4AB8-A747-D6526898D177}"/>
  <tableColumns count="8">
    <tableColumn id="1" xr3:uid="{57E1731F-85CF-4024-BD6B-E6AF34565BED}" uniqueName="1" name="Player_ID" queryTableFieldId="1"/>
    <tableColumn id="2" xr3:uid="{C6BC36BF-004A-46C7-BC0E-550314484BF3}" uniqueName="2" name="Player_Name" queryTableFieldId="2"/>
    <tableColumn id="3" xr3:uid="{50FB882D-5FC9-498C-A7BB-4807E4C1A9D8}" uniqueName="3" name="Team_ID" queryTableFieldId="3"/>
    <tableColumn id="4" xr3:uid="{B7A87959-1EBC-4989-8E80-422A9B6E8943}" uniqueName="4" name="Role" queryTableFieldId="4"/>
    <tableColumn id="5" xr3:uid="{F789502F-C044-4E09-B71B-D95DF706B69D}" uniqueName="5" name="Nationality" queryTableFieldId="5"/>
    <tableColumn id="6" xr3:uid="{4014C10E-C4CA-44AD-8CDA-FB6DFC02DAD9}" uniqueName="6" name="Age" queryTableFieldId="6"/>
    <tableColumn id="7" xr3:uid="{06BE2FFB-9294-496F-9923-F1413B9AB97F}" uniqueName="7" name="Batting_Style" queryTableFieldId="7"/>
    <tableColumn id="8" xr3:uid="{076F4815-77D9-402E-BCC5-2A512D7577EE}" uniqueName="8" name="Bowling_Style" queryTableField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1.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C480B-9F13-4D24-8D34-4CA5F02380C9}">
  <dimension ref="A1:K202"/>
  <sheetViews>
    <sheetView workbookViewId="0"/>
  </sheetViews>
  <sheetFormatPr defaultRowHeight="14.4" x14ac:dyDescent="0.3"/>
  <cols>
    <col min="1" max="1" width="11.44140625" bestFit="1" customWidth="1"/>
    <col min="2" max="2" width="11.21875" bestFit="1" customWidth="1"/>
    <col min="3" max="3" width="7.33203125" bestFit="1" customWidth="1"/>
    <col min="4" max="4" width="12.88671875" bestFit="1" customWidth="1"/>
    <col min="5" max="5" width="7.77734375" bestFit="1" customWidth="1"/>
    <col min="6" max="6" width="7.33203125" bestFit="1" customWidth="1"/>
    <col min="7" max="7" width="12.77734375" bestFit="1" customWidth="1"/>
    <col min="8" max="8" width="15.33203125" bestFit="1" customWidth="1"/>
    <col min="9" max="9" width="16.88671875" bestFit="1" customWidth="1"/>
    <col min="10" max="10" width="9.77734375" bestFit="1" customWidth="1"/>
    <col min="11" max="11" width="11.109375" bestFit="1" customWidth="1"/>
  </cols>
  <sheetData>
    <row r="1" spans="1:11" x14ac:dyDescent="0.3">
      <c r="A1" t="s">
        <v>176</v>
      </c>
      <c r="B1" t="s">
        <v>0</v>
      </c>
      <c r="C1" t="s">
        <v>177</v>
      </c>
      <c r="D1" t="s">
        <v>178</v>
      </c>
      <c r="E1" t="s">
        <v>179</v>
      </c>
      <c r="F1" t="s">
        <v>180</v>
      </c>
      <c r="G1" t="s">
        <v>181</v>
      </c>
      <c r="H1" t="s">
        <v>182</v>
      </c>
      <c r="I1" t="s">
        <v>183</v>
      </c>
      <c r="J1" t="s">
        <v>184</v>
      </c>
      <c r="K1" t="s">
        <v>185</v>
      </c>
    </row>
    <row r="2" spans="1:11" x14ac:dyDescent="0.3">
      <c r="A2" t="s">
        <v>186</v>
      </c>
      <c r="B2" t="s">
        <v>30</v>
      </c>
      <c r="C2">
        <v>58</v>
      </c>
      <c r="D2">
        <v>32</v>
      </c>
      <c r="E2">
        <v>6</v>
      </c>
      <c r="F2">
        <v>3</v>
      </c>
      <c r="G2">
        <v>181.25</v>
      </c>
      <c r="H2">
        <v>0</v>
      </c>
      <c r="I2">
        <v>0</v>
      </c>
      <c r="J2">
        <v>0</v>
      </c>
      <c r="K2">
        <v>0</v>
      </c>
    </row>
    <row r="3" spans="1:11" x14ac:dyDescent="0.3">
      <c r="A3" t="s">
        <v>186</v>
      </c>
      <c r="B3" t="s">
        <v>42</v>
      </c>
      <c r="C3">
        <v>72</v>
      </c>
      <c r="D3">
        <v>50</v>
      </c>
      <c r="E3">
        <v>5</v>
      </c>
      <c r="F3">
        <v>2</v>
      </c>
      <c r="G3">
        <v>144</v>
      </c>
      <c r="H3">
        <v>0</v>
      </c>
      <c r="I3">
        <v>0</v>
      </c>
      <c r="J3">
        <v>0</v>
      </c>
      <c r="K3">
        <v>0</v>
      </c>
    </row>
    <row r="4" spans="1:11" x14ac:dyDescent="0.3">
      <c r="A4" t="s">
        <v>186</v>
      </c>
      <c r="B4" t="s">
        <v>47</v>
      </c>
      <c r="C4">
        <v>0</v>
      </c>
      <c r="D4">
        <v>0</v>
      </c>
      <c r="E4">
        <v>0</v>
      </c>
      <c r="F4">
        <v>0</v>
      </c>
      <c r="G4">
        <v>0</v>
      </c>
      <c r="H4">
        <v>4</v>
      </c>
      <c r="I4">
        <v>28</v>
      </c>
      <c r="J4">
        <v>2</v>
      </c>
      <c r="K4">
        <v>7</v>
      </c>
    </row>
    <row r="5" spans="1:11" x14ac:dyDescent="0.3">
      <c r="A5" t="s">
        <v>187</v>
      </c>
      <c r="B5" t="s">
        <v>103</v>
      </c>
      <c r="C5">
        <v>95</v>
      </c>
      <c r="D5">
        <v>58</v>
      </c>
      <c r="E5">
        <v>10</v>
      </c>
      <c r="F5">
        <v>4</v>
      </c>
      <c r="G5">
        <v>163.79</v>
      </c>
      <c r="H5">
        <v>0</v>
      </c>
      <c r="I5">
        <v>0</v>
      </c>
      <c r="J5">
        <v>0</v>
      </c>
      <c r="K5">
        <v>0</v>
      </c>
    </row>
    <row r="6" spans="1:11" x14ac:dyDescent="0.3">
      <c r="A6" t="s">
        <v>187</v>
      </c>
      <c r="B6" t="s">
        <v>63</v>
      </c>
      <c r="C6">
        <v>45</v>
      </c>
      <c r="D6">
        <v>35</v>
      </c>
      <c r="E6">
        <v>4</v>
      </c>
      <c r="F6">
        <v>1</v>
      </c>
      <c r="G6">
        <v>128.57</v>
      </c>
      <c r="H6">
        <v>0</v>
      </c>
      <c r="I6">
        <v>0</v>
      </c>
      <c r="J6">
        <v>0</v>
      </c>
      <c r="K6">
        <v>0</v>
      </c>
    </row>
    <row r="7" spans="1:11" x14ac:dyDescent="0.3">
      <c r="A7" t="s">
        <v>188</v>
      </c>
      <c r="B7" t="s">
        <v>55</v>
      </c>
      <c r="C7">
        <v>34</v>
      </c>
      <c r="D7">
        <v>18</v>
      </c>
      <c r="E7">
        <v>2</v>
      </c>
      <c r="F7">
        <v>3</v>
      </c>
      <c r="G7">
        <v>188.89</v>
      </c>
      <c r="H7">
        <v>4</v>
      </c>
      <c r="I7">
        <v>38</v>
      </c>
      <c r="J7">
        <v>3</v>
      </c>
      <c r="K7">
        <v>9.5</v>
      </c>
    </row>
    <row r="8" spans="1:11" x14ac:dyDescent="0.3">
      <c r="A8" t="s">
        <v>188</v>
      </c>
      <c r="B8" t="s">
        <v>88</v>
      </c>
      <c r="C8">
        <v>0</v>
      </c>
      <c r="D8">
        <v>0</v>
      </c>
      <c r="E8">
        <v>0</v>
      </c>
      <c r="F8">
        <v>0</v>
      </c>
      <c r="G8">
        <v>0</v>
      </c>
      <c r="H8">
        <v>4</v>
      </c>
      <c r="I8">
        <v>30</v>
      </c>
      <c r="J8">
        <v>2</v>
      </c>
      <c r="K8">
        <v>7.5</v>
      </c>
    </row>
    <row r="9" spans="1:11" x14ac:dyDescent="0.3">
      <c r="A9" t="s">
        <v>189</v>
      </c>
      <c r="B9" t="s">
        <v>74</v>
      </c>
      <c r="C9">
        <v>65</v>
      </c>
      <c r="D9">
        <v>40</v>
      </c>
      <c r="E9">
        <v>7</v>
      </c>
      <c r="F9">
        <v>2</v>
      </c>
      <c r="G9">
        <v>162.5</v>
      </c>
      <c r="H9">
        <v>0</v>
      </c>
      <c r="I9">
        <v>0</v>
      </c>
      <c r="J9">
        <v>0</v>
      </c>
      <c r="K9">
        <v>0</v>
      </c>
    </row>
    <row r="10" spans="1:11" x14ac:dyDescent="0.3">
      <c r="A10" t="s">
        <v>189</v>
      </c>
      <c r="B10" t="s">
        <v>15</v>
      </c>
      <c r="C10">
        <v>0</v>
      </c>
      <c r="D10">
        <v>0</v>
      </c>
      <c r="E10">
        <v>0</v>
      </c>
      <c r="F10">
        <v>0</v>
      </c>
      <c r="G10">
        <v>0</v>
      </c>
      <c r="H10">
        <v>3.2</v>
      </c>
      <c r="I10">
        <v>25</v>
      </c>
      <c r="J10">
        <v>3</v>
      </c>
      <c r="K10">
        <v>7.5</v>
      </c>
    </row>
    <row r="11" spans="1:11" x14ac:dyDescent="0.3">
      <c r="A11" t="s">
        <v>190</v>
      </c>
      <c r="B11" t="s">
        <v>83</v>
      </c>
      <c r="C11">
        <v>88</v>
      </c>
      <c r="D11">
        <v>52</v>
      </c>
      <c r="E11">
        <v>8</v>
      </c>
      <c r="F11">
        <v>3</v>
      </c>
      <c r="G11">
        <v>169.23</v>
      </c>
      <c r="H11">
        <v>0</v>
      </c>
      <c r="I11">
        <v>0</v>
      </c>
      <c r="J11">
        <v>0</v>
      </c>
      <c r="K11">
        <v>0</v>
      </c>
    </row>
    <row r="12" spans="1:11" x14ac:dyDescent="0.3">
      <c r="A12" t="s">
        <v>190</v>
      </c>
      <c r="B12" t="s">
        <v>42</v>
      </c>
      <c r="C12">
        <v>5</v>
      </c>
      <c r="D12">
        <v>7</v>
      </c>
      <c r="E12">
        <v>0</v>
      </c>
      <c r="F12">
        <v>0</v>
      </c>
      <c r="G12">
        <v>71.430000000000007</v>
      </c>
      <c r="H12">
        <v>0</v>
      </c>
      <c r="I12">
        <v>0</v>
      </c>
      <c r="J12">
        <v>0</v>
      </c>
      <c r="K12">
        <v>0</v>
      </c>
    </row>
    <row r="13" spans="1:11" x14ac:dyDescent="0.3">
      <c r="A13" t="s">
        <v>191</v>
      </c>
      <c r="B13" t="s">
        <v>58</v>
      </c>
      <c r="C13">
        <v>18</v>
      </c>
      <c r="D13">
        <v>10</v>
      </c>
      <c r="E13">
        <v>1</v>
      </c>
      <c r="F13">
        <v>1</v>
      </c>
      <c r="G13">
        <v>180</v>
      </c>
      <c r="H13">
        <v>4</v>
      </c>
      <c r="I13">
        <v>22</v>
      </c>
      <c r="J13">
        <v>2</v>
      </c>
      <c r="K13">
        <v>5.5</v>
      </c>
    </row>
    <row r="14" spans="1:11" x14ac:dyDescent="0.3">
      <c r="A14" t="s">
        <v>191</v>
      </c>
      <c r="B14" t="s">
        <v>66</v>
      </c>
      <c r="C14">
        <v>0</v>
      </c>
      <c r="D14">
        <v>0</v>
      </c>
      <c r="E14">
        <v>0</v>
      </c>
      <c r="F14">
        <v>0</v>
      </c>
      <c r="G14">
        <v>0</v>
      </c>
      <c r="H14">
        <v>4</v>
      </c>
      <c r="I14">
        <v>25</v>
      </c>
      <c r="J14">
        <v>1</v>
      </c>
      <c r="K14">
        <v>6.25</v>
      </c>
    </row>
    <row r="15" spans="1:11" x14ac:dyDescent="0.3">
      <c r="A15" t="s">
        <v>192</v>
      </c>
      <c r="B15" t="s">
        <v>33</v>
      </c>
      <c r="C15">
        <v>0</v>
      </c>
      <c r="D15">
        <v>0</v>
      </c>
      <c r="E15">
        <v>0</v>
      </c>
      <c r="F15">
        <v>0</v>
      </c>
      <c r="G15">
        <v>0</v>
      </c>
      <c r="H15">
        <v>4</v>
      </c>
      <c r="I15">
        <v>24</v>
      </c>
      <c r="J15">
        <v>3</v>
      </c>
      <c r="K15">
        <v>6</v>
      </c>
    </row>
    <row r="16" spans="1:11" x14ac:dyDescent="0.3">
      <c r="A16" t="s">
        <v>192</v>
      </c>
      <c r="B16" t="s">
        <v>85</v>
      </c>
      <c r="C16">
        <v>35</v>
      </c>
      <c r="D16">
        <v>25</v>
      </c>
      <c r="E16">
        <v>2</v>
      </c>
      <c r="F16">
        <v>2</v>
      </c>
      <c r="G16">
        <v>140</v>
      </c>
      <c r="H16">
        <v>0</v>
      </c>
      <c r="I16">
        <v>0</v>
      </c>
      <c r="J16">
        <v>0</v>
      </c>
      <c r="K16">
        <v>0</v>
      </c>
    </row>
    <row r="17" spans="1:11" x14ac:dyDescent="0.3">
      <c r="A17" t="s">
        <v>193</v>
      </c>
      <c r="B17" t="s">
        <v>101</v>
      </c>
      <c r="C17">
        <v>56</v>
      </c>
      <c r="D17">
        <v>28</v>
      </c>
      <c r="E17">
        <v>3</v>
      </c>
      <c r="F17">
        <v>5</v>
      </c>
      <c r="G17">
        <v>200</v>
      </c>
      <c r="H17">
        <v>0</v>
      </c>
      <c r="I17">
        <v>0</v>
      </c>
      <c r="J17">
        <v>0</v>
      </c>
      <c r="K17">
        <v>0</v>
      </c>
    </row>
    <row r="18" spans="1:11" x14ac:dyDescent="0.3">
      <c r="A18" t="s">
        <v>193</v>
      </c>
      <c r="B18" t="s">
        <v>24</v>
      </c>
      <c r="C18">
        <v>22</v>
      </c>
      <c r="D18">
        <v>19</v>
      </c>
      <c r="E18">
        <v>1</v>
      </c>
      <c r="F18">
        <v>0</v>
      </c>
      <c r="G18">
        <v>115.79</v>
      </c>
      <c r="H18">
        <v>0</v>
      </c>
      <c r="I18">
        <v>0</v>
      </c>
      <c r="J18">
        <v>0</v>
      </c>
      <c r="K18">
        <v>0</v>
      </c>
    </row>
    <row r="19" spans="1:11" x14ac:dyDescent="0.3">
      <c r="A19" t="s">
        <v>194</v>
      </c>
      <c r="B19" t="s">
        <v>60</v>
      </c>
      <c r="C19">
        <v>0</v>
      </c>
      <c r="D19">
        <v>0</v>
      </c>
      <c r="E19">
        <v>0</v>
      </c>
      <c r="F19">
        <v>0</v>
      </c>
      <c r="G19">
        <v>0</v>
      </c>
      <c r="H19">
        <v>3.3</v>
      </c>
      <c r="I19">
        <v>19</v>
      </c>
      <c r="J19">
        <v>4</v>
      </c>
      <c r="K19">
        <v>5.43</v>
      </c>
    </row>
    <row r="20" spans="1:11" x14ac:dyDescent="0.3">
      <c r="A20" t="s">
        <v>194</v>
      </c>
      <c r="B20" t="s">
        <v>42</v>
      </c>
      <c r="C20">
        <v>40</v>
      </c>
      <c r="D20">
        <v>30</v>
      </c>
      <c r="E20">
        <v>3</v>
      </c>
      <c r="F20">
        <v>1</v>
      </c>
      <c r="G20">
        <v>133.33000000000001</v>
      </c>
      <c r="H20">
        <v>0</v>
      </c>
      <c r="I20">
        <v>0</v>
      </c>
      <c r="J20">
        <v>0</v>
      </c>
      <c r="K20">
        <v>0</v>
      </c>
    </row>
    <row r="21" spans="1:11" x14ac:dyDescent="0.3">
      <c r="A21" t="s">
        <v>195</v>
      </c>
      <c r="B21" t="s">
        <v>66</v>
      </c>
      <c r="C21">
        <v>0</v>
      </c>
      <c r="D21">
        <v>0</v>
      </c>
      <c r="E21">
        <v>0</v>
      </c>
      <c r="F21">
        <v>0</v>
      </c>
      <c r="G21">
        <v>0</v>
      </c>
      <c r="H21">
        <v>4</v>
      </c>
      <c r="I21">
        <v>17</v>
      </c>
      <c r="J21">
        <v>2</v>
      </c>
      <c r="K21">
        <v>4.25</v>
      </c>
    </row>
    <row r="22" spans="1:11" x14ac:dyDescent="0.3">
      <c r="A22" t="s">
        <v>195</v>
      </c>
      <c r="B22" t="s">
        <v>83</v>
      </c>
      <c r="C22">
        <v>12</v>
      </c>
      <c r="D22">
        <v>14</v>
      </c>
      <c r="E22">
        <v>1</v>
      </c>
      <c r="F22">
        <v>0</v>
      </c>
      <c r="G22">
        <v>85.71</v>
      </c>
      <c r="H22">
        <v>0</v>
      </c>
      <c r="I22">
        <v>0</v>
      </c>
      <c r="J22">
        <v>0</v>
      </c>
      <c r="K22">
        <v>0</v>
      </c>
    </row>
    <row r="23" spans="1:11" x14ac:dyDescent="0.3">
      <c r="A23" t="s">
        <v>196</v>
      </c>
      <c r="B23" t="s">
        <v>85</v>
      </c>
      <c r="C23">
        <v>75</v>
      </c>
      <c r="D23">
        <v>45</v>
      </c>
      <c r="E23">
        <v>5</v>
      </c>
      <c r="F23">
        <v>4</v>
      </c>
      <c r="G23">
        <v>166.67</v>
      </c>
      <c r="H23">
        <v>0</v>
      </c>
      <c r="I23">
        <v>0</v>
      </c>
      <c r="J23">
        <v>0</v>
      </c>
      <c r="K23">
        <v>0</v>
      </c>
    </row>
    <row r="24" spans="1:11" x14ac:dyDescent="0.3">
      <c r="A24" t="s">
        <v>196</v>
      </c>
      <c r="B24" t="s">
        <v>27</v>
      </c>
      <c r="C24">
        <v>25</v>
      </c>
      <c r="D24">
        <v>18</v>
      </c>
      <c r="E24">
        <v>1</v>
      </c>
      <c r="F24">
        <v>1</v>
      </c>
      <c r="G24">
        <v>138.88999999999999</v>
      </c>
      <c r="H24">
        <v>4</v>
      </c>
      <c r="I24">
        <v>35</v>
      </c>
      <c r="J24">
        <v>1</v>
      </c>
      <c r="K24">
        <v>8.75</v>
      </c>
    </row>
    <row r="25" spans="1:11" x14ac:dyDescent="0.3">
      <c r="A25" t="s">
        <v>197</v>
      </c>
      <c r="B25" t="s">
        <v>36</v>
      </c>
      <c r="C25">
        <v>48</v>
      </c>
      <c r="D25">
        <v>32</v>
      </c>
      <c r="E25">
        <v>4</v>
      </c>
      <c r="F25">
        <v>1</v>
      </c>
      <c r="G25">
        <v>150</v>
      </c>
      <c r="H25">
        <v>0</v>
      </c>
      <c r="I25">
        <v>0</v>
      </c>
      <c r="J25">
        <v>0</v>
      </c>
      <c r="K25">
        <v>0</v>
      </c>
    </row>
    <row r="26" spans="1:11" x14ac:dyDescent="0.3">
      <c r="A26" t="s">
        <v>197</v>
      </c>
      <c r="B26" t="s">
        <v>99</v>
      </c>
      <c r="C26">
        <v>0</v>
      </c>
      <c r="D26">
        <v>0</v>
      </c>
      <c r="E26">
        <v>0</v>
      </c>
      <c r="F26">
        <v>0</v>
      </c>
      <c r="G26">
        <v>0</v>
      </c>
      <c r="H26">
        <v>4</v>
      </c>
      <c r="I26">
        <v>30</v>
      </c>
      <c r="J26">
        <v>2</v>
      </c>
      <c r="K26">
        <v>7.5</v>
      </c>
    </row>
    <row r="27" spans="1:11" x14ac:dyDescent="0.3">
      <c r="A27" t="s">
        <v>198</v>
      </c>
      <c r="B27" t="s">
        <v>42</v>
      </c>
      <c r="C27">
        <v>105</v>
      </c>
      <c r="D27">
        <v>60</v>
      </c>
      <c r="E27">
        <v>12</v>
      </c>
      <c r="F27">
        <v>3</v>
      </c>
      <c r="G27">
        <v>175</v>
      </c>
      <c r="H27">
        <v>0</v>
      </c>
      <c r="I27">
        <v>0</v>
      </c>
      <c r="J27">
        <v>0</v>
      </c>
      <c r="K27">
        <v>0</v>
      </c>
    </row>
    <row r="28" spans="1:11" x14ac:dyDescent="0.3">
      <c r="A28" t="s">
        <v>198</v>
      </c>
      <c r="B28" t="s">
        <v>69</v>
      </c>
      <c r="C28">
        <v>0</v>
      </c>
      <c r="D28">
        <v>0</v>
      </c>
      <c r="E28">
        <v>0</v>
      </c>
      <c r="F28">
        <v>0</v>
      </c>
      <c r="G28">
        <v>0</v>
      </c>
      <c r="H28">
        <v>4</v>
      </c>
      <c r="I28">
        <v>40</v>
      </c>
      <c r="J28">
        <v>1</v>
      </c>
      <c r="K28">
        <v>10</v>
      </c>
    </row>
    <row r="29" spans="1:11" x14ac:dyDescent="0.3">
      <c r="A29" t="s">
        <v>199</v>
      </c>
      <c r="B29" t="s">
        <v>8</v>
      </c>
      <c r="C29">
        <v>88</v>
      </c>
      <c r="D29">
        <v>48</v>
      </c>
      <c r="E29">
        <v>9</v>
      </c>
      <c r="F29">
        <v>4</v>
      </c>
      <c r="G29">
        <v>183.33</v>
      </c>
      <c r="H29">
        <v>0</v>
      </c>
      <c r="I29">
        <v>0</v>
      </c>
      <c r="J29">
        <v>0</v>
      </c>
      <c r="K29">
        <v>0</v>
      </c>
    </row>
    <row r="30" spans="1:11" x14ac:dyDescent="0.3">
      <c r="A30" t="s">
        <v>199</v>
      </c>
      <c r="B30" t="s">
        <v>78</v>
      </c>
      <c r="C30">
        <v>0</v>
      </c>
      <c r="D30">
        <v>0</v>
      </c>
      <c r="E30">
        <v>0</v>
      </c>
      <c r="F30">
        <v>0</v>
      </c>
      <c r="G30">
        <v>0</v>
      </c>
      <c r="H30">
        <v>4</v>
      </c>
      <c r="I30">
        <v>30</v>
      </c>
      <c r="J30">
        <v>1</v>
      </c>
      <c r="K30">
        <v>7.5</v>
      </c>
    </row>
    <row r="31" spans="1:11" x14ac:dyDescent="0.3">
      <c r="A31" t="s">
        <v>200</v>
      </c>
      <c r="B31" t="s">
        <v>96</v>
      </c>
      <c r="C31">
        <v>65</v>
      </c>
      <c r="D31">
        <v>40</v>
      </c>
      <c r="E31">
        <v>6</v>
      </c>
      <c r="F31">
        <v>2</v>
      </c>
      <c r="G31">
        <v>162.5</v>
      </c>
      <c r="H31">
        <v>0</v>
      </c>
      <c r="I31">
        <v>0</v>
      </c>
      <c r="J31">
        <v>0</v>
      </c>
      <c r="K31">
        <v>0</v>
      </c>
    </row>
    <row r="32" spans="1:11" x14ac:dyDescent="0.3">
      <c r="A32" t="s">
        <v>200</v>
      </c>
      <c r="B32" t="s">
        <v>52</v>
      </c>
      <c r="C32">
        <v>10</v>
      </c>
      <c r="D32">
        <v>8</v>
      </c>
      <c r="E32">
        <v>0</v>
      </c>
      <c r="F32">
        <v>1</v>
      </c>
      <c r="G32">
        <v>125</v>
      </c>
      <c r="H32">
        <v>0</v>
      </c>
      <c r="I32">
        <v>0</v>
      </c>
      <c r="J32">
        <v>0</v>
      </c>
      <c r="K32">
        <v>0</v>
      </c>
    </row>
    <row r="33" spans="1:11" x14ac:dyDescent="0.3">
      <c r="A33" t="s">
        <v>201</v>
      </c>
      <c r="B33" t="s">
        <v>88</v>
      </c>
      <c r="C33">
        <v>0</v>
      </c>
      <c r="D33">
        <v>0</v>
      </c>
      <c r="E33">
        <v>0</v>
      </c>
      <c r="F33">
        <v>0</v>
      </c>
      <c r="G33">
        <v>0</v>
      </c>
      <c r="H33">
        <v>4</v>
      </c>
      <c r="I33">
        <v>22</v>
      </c>
      <c r="J33">
        <v>3</v>
      </c>
      <c r="K33">
        <v>5.5</v>
      </c>
    </row>
    <row r="34" spans="1:11" x14ac:dyDescent="0.3">
      <c r="A34" t="s">
        <v>201</v>
      </c>
      <c r="B34" t="s">
        <v>63</v>
      </c>
      <c r="C34">
        <v>40</v>
      </c>
      <c r="D34">
        <v>30</v>
      </c>
      <c r="E34">
        <v>4</v>
      </c>
      <c r="F34">
        <v>1</v>
      </c>
      <c r="G34">
        <v>133.33000000000001</v>
      </c>
      <c r="H34">
        <v>0</v>
      </c>
      <c r="I34">
        <v>0</v>
      </c>
      <c r="J34">
        <v>0</v>
      </c>
      <c r="K34">
        <v>0</v>
      </c>
    </row>
    <row r="35" spans="1:11" x14ac:dyDescent="0.3">
      <c r="A35" t="s">
        <v>202</v>
      </c>
      <c r="B35" t="s">
        <v>30</v>
      </c>
      <c r="C35">
        <v>55</v>
      </c>
      <c r="D35">
        <v>30</v>
      </c>
      <c r="E35">
        <v>5</v>
      </c>
      <c r="F35">
        <v>3</v>
      </c>
      <c r="G35">
        <v>183.33</v>
      </c>
      <c r="H35">
        <v>0</v>
      </c>
      <c r="I35">
        <v>0</v>
      </c>
      <c r="J35">
        <v>0</v>
      </c>
      <c r="K35">
        <v>0</v>
      </c>
    </row>
    <row r="36" spans="1:11" x14ac:dyDescent="0.3">
      <c r="A36" t="s">
        <v>202</v>
      </c>
      <c r="B36" t="s">
        <v>15</v>
      </c>
      <c r="C36">
        <v>0</v>
      </c>
      <c r="D36">
        <v>0</v>
      </c>
      <c r="E36">
        <v>0</v>
      </c>
      <c r="F36">
        <v>0</v>
      </c>
      <c r="G36">
        <v>0</v>
      </c>
      <c r="H36">
        <v>4</v>
      </c>
      <c r="I36">
        <v>32</v>
      </c>
      <c r="J36">
        <v>1</v>
      </c>
      <c r="K36">
        <v>8</v>
      </c>
    </row>
    <row r="37" spans="1:11" x14ac:dyDescent="0.3">
      <c r="A37" t="s">
        <v>203</v>
      </c>
      <c r="B37" t="s">
        <v>47</v>
      </c>
      <c r="C37">
        <v>68</v>
      </c>
      <c r="D37">
        <v>40</v>
      </c>
      <c r="E37">
        <v>6</v>
      </c>
      <c r="F37">
        <v>3</v>
      </c>
      <c r="G37">
        <v>170</v>
      </c>
      <c r="H37">
        <v>0</v>
      </c>
      <c r="I37">
        <v>0</v>
      </c>
      <c r="J37">
        <v>0</v>
      </c>
      <c r="K37">
        <v>0</v>
      </c>
    </row>
    <row r="38" spans="1:11" x14ac:dyDescent="0.3">
      <c r="A38" t="s">
        <v>203</v>
      </c>
      <c r="B38" t="s">
        <v>99</v>
      </c>
      <c r="C38">
        <v>0</v>
      </c>
      <c r="D38">
        <v>0</v>
      </c>
      <c r="E38">
        <v>0</v>
      </c>
      <c r="F38">
        <v>0</v>
      </c>
      <c r="G38">
        <v>0</v>
      </c>
      <c r="H38">
        <v>4</v>
      </c>
      <c r="I38">
        <v>42</v>
      </c>
      <c r="J38">
        <v>1</v>
      </c>
      <c r="K38">
        <v>10.5</v>
      </c>
    </row>
    <row r="39" spans="1:11" x14ac:dyDescent="0.3">
      <c r="A39" t="s">
        <v>204</v>
      </c>
      <c r="B39" t="s">
        <v>78</v>
      </c>
      <c r="C39">
        <v>0</v>
      </c>
      <c r="D39">
        <v>0</v>
      </c>
      <c r="E39">
        <v>0</v>
      </c>
      <c r="F39">
        <v>0</v>
      </c>
      <c r="G39">
        <v>0</v>
      </c>
      <c r="H39">
        <v>4</v>
      </c>
      <c r="I39">
        <v>20</v>
      </c>
      <c r="J39">
        <v>3</v>
      </c>
      <c r="K39">
        <v>5</v>
      </c>
    </row>
    <row r="40" spans="1:11" x14ac:dyDescent="0.3">
      <c r="A40" t="s">
        <v>204</v>
      </c>
      <c r="B40" t="s">
        <v>55</v>
      </c>
      <c r="C40">
        <v>25</v>
      </c>
      <c r="D40">
        <v>15</v>
      </c>
      <c r="E40">
        <v>2</v>
      </c>
      <c r="F40">
        <v>2</v>
      </c>
      <c r="G40">
        <v>166.67</v>
      </c>
      <c r="H40">
        <v>0</v>
      </c>
      <c r="I40">
        <v>0</v>
      </c>
      <c r="J40">
        <v>0</v>
      </c>
      <c r="K40">
        <v>0</v>
      </c>
    </row>
    <row r="41" spans="1:11" x14ac:dyDescent="0.3">
      <c r="A41" t="s">
        <v>205</v>
      </c>
      <c r="B41" t="s">
        <v>69</v>
      </c>
      <c r="C41">
        <v>50</v>
      </c>
      <c r="D41">
        <v>30</v>
      </c>
      <c r="E41">
        <v>4</v>
      </c>
      <c r="F41">
        <v>3</v>
      </c>
      <c r="G41">
        <v>166.67</v>
      </c>
      <c r="H41">
        <v>0</v>
      </c>
      <c r="I41">
        <v>0</v>
      </c>
      <c r="J41">
        <v>0</v>
      </c>
      <c r="K41">
        <v>0</v>
      </c>
    </row>
    <row r="42" spans="1:11" x14ac:dyDescent="0.3">
      <c r="A42" t="s">
        <v>205</v>
      </c>
      <c r="B42" t="s">
        <v>93</v>
      </c>
      <c r="C42">
        <v>0</v>
      </c>
      <c r="D42">
        <v>0</v>
      </c>
      <c r="E42">
        <v>0</v>
      </c>
      <c r="F42">
        <v>0</v>
      </c>
      <c r="G42">
        <v>0</v>
      </c>
      <c r="H42">
        <v>4</v>
      </c>
      <c r="I42">
        <v>40</v>
      </c>
      <c r="J42">
        <v>0</v>
      </c>
      <c r="K42">
        <v>10</v>
      </c>
    </row>
    <row r="43" spans="1:11" x14ac:dyDescent="0.3">
      <c r="A43" t="s">
        <v>206</v>
      </c>
      <c r="B43" t="s">
        <v>15</v>
      </c>
      <c r="C43">
        <v>0</v>
      </c>
      <c r="D43">
        <v>0</v>
      </c>
      <c r="E43">
        <v>0</v>
      </c>
      <c r="F43">
        <v>0</v>
      </c>
      <c r="G43">
        <v>0</v>
      </c>
      <c r="H43">
        <v>4</v>
      </c>
      <c r="I43">
        <v>26</v>
      </c>
      <c r="J43">
        <v>3</v>
      </c>
      <c r="K43">
        <v>6.5</v>
      </c>
    </row>
    <row r="44" spans="1:11" x14ac:dyDescent="0.3">
      <c r="A44" t="s">
        <v>206</v>
      </c>
      <c r="B44" t="s">
        <v>52</v>
      </c>
      <c r="C44">
        <v>35</v>
      </c>
      <c r="D44">
        <v>28</v>
      </c>
      <c r="E44">
        <v>3</v>
      </c>
      <c r="F44">
        <v>1</v>
      </c>
      <c r="G44">
        <v>125</v>
      </c>
      <c r="H44">
        <v>0</v>
      </c>
      <c r="I44">
        <v>0</v>
      </c>
      <c r="J44">
        <v>0</v>
      </c>
      <c r="K44">
        <v>0</v>
      </c>
    </row>
    <row r="45" spans="1:11" x14ac:dyDescent="0.3">
      <c r="A45" t="s">
        <v>207</v>
      </c>
      <c r="B45" t="s">
        <v>99</v>
      </c>
      <c r="C45">
        <v>0</v>
      </c>
      <c r="D45">
        <v>0</v>
      </c>
      <c r="E45">
        <v>0</v>
      </c>
      <c r="F45">
        <v>0</v>
      </c>
      <c r="G45">
        <v>0</v>
      </c>
      <c r="H45">
        <v>4</v>
      </c>
      <c r="I45">
        <v>23</v>
      </c>
      <c r="J45">
        <v>2</v>
      </c>
      <c r="K45">
        <v>5.75</v>
      </c>
    </row>
    <row r="46" spans="1:11" x14ac:dyDescent="0.3">
      <c r="A46" t="s">
        <v>207</v>
      </c>
      <c r="B46" t="s">
        <v>80</v>
      </c>
      <c r="C46">
        <v>0</v>
      </c>
      <c r="D46">
        <v>0</v>
      </c>
      <c r="E46">
        <v>0</v>
      </c>
      <c r="F46">
        <v>0</v>
      </c>
      <c r="G46">
        <v>0</v>
      </c>
      <c r="H46">
        <v>4</v>
      </c>
      <c r="I46">
        <v>34</v>
      </c>
      <c r="J46">
        <v>1</v>
      </c>
      <c r="K46">
        <v>8.5</v>
      </c>
    </row>
    <row r="47" spans="1:11" x14ac:dyDescent="0.3">
      <c r="A47" t="s">
        <v>208</v>
      </c>
      <c r="B47" t="s">
        <v>42</v>
      </c>
      <c r="C47">
        <v>80</v>
      </c>
      <c r="D47">
        <v>55</v>
      </c>
      <c r="E47">
        <v>7</v>
      </c>
      <c r="F47">
        <v>2</v>
      </c>
      <c r="G47">
        <v>145.44999999999999</v>
      </c>
      <c r="H47">
        <v>0</v>
      </c>
      <c r="I47">
        <v>0</v>
      </c>
      <c r="J47">
        <v>0</v>
      </c>
      <c r="K47">
        <v>0</v>
      </c>
    </row>
    <row r="48" spans="1:11" x14ac:dyDescent="0.3">
      <c r="A48" t="s">
        <v>208</v>
      </c>
      <c r="B48" t="s">
        <v>36</v>
      </c>
      <c r="C48">
        <v>30</v>
      </c>
      <c r="D48">
        <v>22</v>
      </c>
      <c r="E48">
        <v>3</v>
      </c>
      <c r="F48">
        <v>0</v>
      </c>
      <c r="G48">
        <v>136.36000000000001</v>
      </c>
      <c r="H48">
        <v>0</v>
      </c>
      <c r="I48">
        <v>0</v>
      </c>
      <c r="J48">
        <v>0</v>
      </c>
      <c r="K48">
        <v>0</v>
      </c>
    </row>
    <row r="49" spans="1:11" x14ac:dyDescent="0.3">
      <c r="A49" t="s">
        <v>209</v>
      </c>
      <c r="B49" t="s">
        <v>19</v>
      </c>
      <c r="C49">
        <v>78</v>
      </c>
      <c r="D49">
        <v>45</v>
      </c>
      <c r="E49">
        <v>8</v>
      </c>
      <c r="F49">
        <v>3</v>
      </c>
      <c r="G49">
        <v>173.33</v>
      </c>
      <c r="H49">
        <v>0</v>
      </c>
      <c r="I49">
        <v>0</v>
      </c>
      <c r="J49">
        <v>0</v>
      </c>
      <c r="K49">
        <v>0</v>
      </c>
    </row>
    <row r="50" spans="1:11" x14ac:dyDescent="0.3">
      <c r="A50" t="s">
        <v>209</v>
      </c>
      <c r="B50" t="s">
        <v>71</v>
      </c>
      <c r="C50">
        <v>0</v>
      </c>
      <c r="D50">
        <v>0</v>
      </c>
      <c r="E50">
        <v>0</v>
      </c>
      <c r="F50">
        <v>0</v>
      </c>
      <c r="G50">
        <v>0</v>
      </c>
      <c r="H50">
        <v>4</v>
      </c>
      <c r="I50">
        <v>28</v>
      </c>
      <c r="J50">
        <v>1</v>
      </c>
      <c r="K50">
        <v>7</v>
      </c>
    </row>
    <row r="51" spans="1:11" x14ac:dyDescent="0.3">
      <c r="A51" t="s">
        <v>210</v>
      </c>
      <c r="B51" t="s">
        <v>103</v>
      </c>
      <c r="C51">
        <v>90</v>
      </c>
      <c r="D51">
        <v>50</v>
      </c>
      <c r="E51">
        <v>11</v>
      </c>
      <c r="F51">
        <v>3</v>
      </c>
      <c r="G51">
        <v>180</v>
      </c>
      <c r="H51">
        <v>0</v>
      </c>
      <c r="I51">
        <v>0</v>
      </c>
      <c r="J51">
        <v>0</v>
      </c>
      <c r="K51">
        <v>0</v>
      </c>
    </row>
    <row r="52" spans="1:11" x14ac:dyDescent="0.3">
      <c r="A52" t="s">
        <v>210</v>
      </c>
      <c r="B52" t="s">
        <v>85</v>
      </c>
      <c r="C52">
        <v>50</v>
      </c>
      <c r="D52">
        <v>35</v>
      </c>
      <c r="E52">
        <v>4</v>
      </c>
      <c r="F52">
        <v>2</v>
      </c>
      <c r="G52">
        <v>142.86000000000001</v>
      </c>
      <c r="H52">
        <v>0</v>
      </c>
      <c r="I52">
        <v>0</v>
      </c>
      <c r="J52">
        <v>0</v>
      </c>
      <c r="K52">
        <v>0</v>
      </c>
    </row>
    <row r="53" spans="1:11" x14ac:dyDescent="0.3">
      <c r="A53" t="s">
        <v>211</v>
      </c>
      <c r="B53" t="s">
        <v>39</v>
      </c>
      <c r="C53">
        <v>0</v>
      </c>
      <c r="D53">
        <v>0</v>
      </c>
      <c r="E53">
        <v>0</v>
      </c>
      <c r="F53">
        <v>0</v>
      </c>
      <c r="G53">
        <v>0</v>
      </c>
      <c r="H53">
        <v>4</v>
      </c>
      <c r="I53">
        <v>21</v>
      </c>
      <c r="J53">
        <v>3</v>
      </c>
      <c r="K53">
        <v>5.25</v>
      </c>
    </row>
    <row r="54" spans="1:11" x14ac:dyDescent="0.3">
      <c r="A54" t="s">
        <v>211</v>
      </c>
      <c r="B54" t="s">
        <v>58</v>
      </c>
      <c r="C54">
        <v>15</v>
      </c>
      <c r="D54">
        <v>10</v>
      </c>
      <c r="E54">
        <v>1</v>
      </c>
      <c r="F54">
        <v>1</v>
      </c>
      <c r="G54">
        <v>150</v>
      </c>
      <c r="H54">
        <v>4</v>
      </c>
      <c r="I54">
        <v>25</v>
      </c>
      <c r="J54">
        <v>1</v>
      </c>
      <c r="K54">
        <v>6.25</v>
      </c>
    </row>
    <row r="55" spans="1:11" x14ac:dyDescent="0.3">
      <c r="A55" t="s">
        <v>212</v>
      </c>
      <c r="B55" t="s">
        <v>74</v>
      </c>
      <c r="C55">
        <v>102</v>
      </c>
      <c r="D55">
        <v>59</v>
      </c>
      <c r="E55">
        <v>10</v>
      </c>
      <c r="F55">
        <v>4</v>
      </c>
      <c r="G55">
        <v>172.88</v>
      </c>
      <c r="H55">
        <v>0</v>
      </c>
      <c r="I55">
        <v>0</v>
      </c>
      <c r="J55">
        <v>0</v>
      </c>
      <c r="K55">
        <v>0</v>
      </c>
    </row>
    <row r="56" spans="1:11" x14ac:dyDescent="0.3">
      <c r="A56" t="s">
        <v>212</v>
      </c>
      <c r="B56" t="s">
        <v>47</v>
      </c>
      <c r="C56">
        <v>33</v>
      </c>
      <c r="D56">
        <v>20</v>
      </c>
      <c r="E56">
        <v>3</v>
      </c>
      <c r="F56">
        <v>2</v>
      </c>
      <c r="G56">
        <v>165</v>
      </c>
      <c r="H56">
        <v>0</v>
      </c>
      <c r="I56">
        <v>0</v>
      </c>
      <c r="J56">
        <v>0</v>
      </c>
      <c r="K56">
        <v>0</v>
      </c>
    </row>
    <row r="57" spans="1:11" x14ac:dyDescent="0.3">
      <c r="A57" t="s">
        <v>213</v>
      </c>
      <c r="B57" t="s">
        <v>24</v>
      </c>
      <c r="C57">
        <v>60</v>
      </c>
      <c r="D57">
        <v>35</v>
      </c>
      <c r="E57">
        <v>5</v>
      </c>
      <c r="F57">
        <v>3</v>
      </c>
      <c r="G57">
        <v>171.43</v>
      </c>
      <c r="H57">
        <v>0</v>
      </c>
      <c r="I57">
        <v>0</v>
      </c>
      <c r="J57">
        <v>0</v>
      </c>
      <c r="K57">
        <v>0</v>
      </c>
    </row>
    <row r="58" spans="1:11" x14ac:dyDescent="0.3">
      <c r="A58" t="s">
        <v>213</v>
      </c>
      <c r="B58" t="s">
        <v>63</v>
      </c>
      <c r="C58">
        <v>25</v>
      </c>
      <c r="D58">
        <v>20</v>
      </c>
      <c r="E58">
        <v>2</v>
      </c>
      <c r="F58">
        <v>0</v>
      </c>
      <c r="G58">
        <v>125</v>
      </c>
      <c r="H58">
        <v>0</v>
      </c>
      <c r="I58">
        <v>0</v>
      </c>
      <c r="J58">
        <v>0</v>
      </c>
      <c r="K58">
        <v>0</v>
      </c>
    </row>
    <row r="59" spans="1:11" x14ac:dyDescent="0.3">
      <c r="A59" t="s">
        <v>214</v>
      </c>
      <c r="B59" t="s">
        <v>91</v>
      </c>
      <c r="C59">
        <v>70</v>
      </c>
      <c r="D59">
        <v>42</v>
      </c>
      <c r="E59">
        <v>8</v>
      </c>
      <c r="F59">
        <v>2</v>
      </c>
      <c r="G59">
        <v>166.67</v>
      </c>
      <c r="H59">
        <v>0</v>
      </c>
      <c r="I59">
        <v>0</v>
      </c>
      <c r="J59">
        <v>0</v>
      </c>
      <c r="K59">
        <v>0</v>
      </c>
    </row>
    <row r="60" spans="1:11" x14ac:dyDescent="0.3">
      <c r="A60" t="s">
        <v>214</v>
      </c>
      <c r="B60" t="s">
        <v>96</v>
      </c>
      <c r="C60">
        <v>20</v>
      </c>
      <c r="D60">
        <v>15</v>
      </c>
      <c r="E60">
        <v>1</v>
      </c>
      <c r="F60">
        <v>1</v>
      </c>
      <c r="G60">
        <v>133.33000000000001</v>
      </c>
      <c r="H60">
        <v>0</v>
      </c>
      <c r="I60">
        <v>0</v>
      </c>
      <c r="J60">
        <v>0</v>
      </c>
      <c r="K60">
        <v>0</v>
      </c>
    </row>
    <row r="61" spans="1:11" x14ac:dyDescent="0.3">
      <c r="A61" t="s">
        <v>215</v>
      </c>
      <c r="B61" t="s">
        <v>52</v>
      </c>
      <c r="C61">
        <v>85</v>
      </c>
      <c r="D61">
        <v>45</v>
      </c>
      <c r="E61">
        <v>7</v>
      </c>
      <c r="F61">
        <v>4</v>
      </c>
      <c r="G61">
        <v>188.89</v>
      </c>
      <c r="H61">
        <v>0</v>
      </c>
      <c r="I61">
        <v>0</v>
      </c>
      <c r="J61">
        <v>0</v>
      </c>
      <c r="K61">
        <v>0</v>
      </c>
    </row>
    <row r="62" spans="1:11" x14ac:dyDescent="0.3">
      <c r="A62" t="s">
        <v>215</v>
      </c>
      <c r="B62" t="s">
        <v>33</v>
      </c>
      <c r="C62">
        <v>0</v>
      </c>
      <c r="D62">
        <v>0</v>
      </c>
      <c r="E62">
        <v>0</v>
      </c>
      <c r="F62">
        <v>0</v>
      </c>
      <c r="G62">
        <v>0</v>
      </c>
      <c r="H62">
        <v>4</v>
      </c>
      <c r="I62">
        <v>35</v>
      </c>
      <c r="J62">
        <v>2</v>
      </c>
      <c r="K62">
        <v>8.75</v>
      </c>
    </row>
    <row r="63" spans="1:11" x14ac:dyDescent="0.3">
      <c r="A63" t="s">
        <v>216</v>
      </c>
      <c r="B63" t="s">
        <v>50</v>
      </c>
      <c r="C63">
        <v>42</v>
      </c>
      <c r="D63">
        <v>21</v>
      </c>
      <c r="E63">
        <v>3</v>
      </c>
      <c r="F63">
        <v>3</v>
      </c>
      <c r="G63">
        <v>200</v>
      </c>
      <c r="H63">
        <v>0</v>
      </c>
      <c r="I63">
        <v>0</v>
      </c>
      <c r="J63">
        <v>0</v>
      </c>
      <c r="K63">
        <v>0</v>
      </c>
    </row>
    <row r="64" spans="1:11" x14ac:dyDescent="0.3">
      <c r="A64" t="s">
        <v>216</v>
      </c>
      <c r="B64" t="s">
        <v>8</v>
      </c>
      <c r="C64">
        <v>65</v>
      </c>
      <c r="D64">
        <v>40</v>
      </c>
      <c r="E64">
        <v>6</v>
      </c>
      <c r="F64">
        <v>2</v>
      </c>
      <c r="G64">
        <v>162.5</v>
      </c>
      <c r="H64">
        <v>0</v>
      </c>
      <c r="I64">
        <v>0</v>
      </c>
      <c r="J64">
        <v>0</v>
      </c>
      <c r="K64">
        <v>0</v>
      </c>
    </row>
    <row r="65" spans="1:11" x14ac:dyDescent="0.3">
      <c r="A65" t="s">
        <v>217</v>
      </c>
      <c r="B65" t="s">
        <v>71</v>
      </c>
      <c r="C65">
        <v>0</v>
      </c>
      <c r="D65">
        <v>0</v>
      </c>
      <c r="E65">
        <v>0</v>
      </c>
      <c r="F65">
        <v>0</v>
      </c>
      <c r="G65">
        <v>0</v>
      </c>
      <c r="H65">
        <v>4</v>
      </c>
      <c r="I65">
        <v>25</v>
      </c>
      <c r="J65">
        <v>2</v>
      </c>
      <c r="K65">
        <v>6.25</v>
      </c>
    </row>
    <row r="66" spans="1:11" x14ac:dyDescent="0.3">
      <c r="A66" t="s">
        <v>217</v>
      </c>
      <c r="B66" t="s">
        <v>78</v>
      </c>
      <c r="C66">
        <v>0</v>
      </c>
      <c r="D66">
        <v>0</v>
      </c>
      <c r="E66">
        <v>0</v>
      </c>
      <c r="F66">
        <v>0</v>
      </c>
      <c r="G66">
        <v>0</v>
      </c>
      <c r="H66">
        <v>4</v>
      </c>
      <c r="I66">
        <v>30</v>
      </c>
      <c r="J66">
        <v>1</v>
      </c>
      <c r="K66">
        <v>7.5</v>
      </c>
    </row>
    <row r="67" spans="1:11" x14ac:dyDescent="0.3">
      <c r="A67" t="s">
        <v>218</v>
      </c>
      <c r="B67" t="s">
        <v>93</v>
      </c>
      <c r="C67">
        <v>0</v>
      </c>
      <c r="D67">
        <v>0</v>
      </c>
      <c r="E67">
        <v>0</v>
      </c>
      <c r="F67">
        <v>0</v>
      </c>
      <c r="G67">
        <v>0</v>
      </c>
      <c r="H67">
        <v>4</v>
      </c>
      <c r="I67">
        <v>20</v>
      </c>
      <c r="J67">
        <v>3</v>
      </c>
      <c r="K67">
        <v>5</v>
      </c>
    </row>
    <row r="68" spans="1:11" x14ac:dyDescent="0.3">
      <c r="A68" t="s">
        <v>218</v>
      </c>
      <c r="B68" t="s">
        <v>30</v>
      </c>
      <c r="C68">
        <v>20</v>
      </c>
      <c r="D68">
        <v>15</v>
      </c>
      <c r="E68">
        <v>1</v>
      </c>
      <c r="F68">
        <v>1</v>
      </c>
      <c r="G68">
        <v>133.33000000000001</v>
      </c>
      <c r="H68">
        <v>0</v>
      </c>
      <c r="I68">
        <v>0</v>
      </c>
      <c r="J68">
        <v>0</v>
      </c>
      <c r="K68">
        <v>0</v>
      </c>
    </row>
    <row r="69" spans="1:11" x14ac:dyDescent="0.3">
      <c r="A69" t="s">
        <v>219</v>
      </c>
      <c r="B69" t="s">
        <v>55</v>
      </c>
      <c r="C69">
        <v>90</v>
      </c>
      <c r="D69">
        <v>48</v>
      </c>
      <c r="E69">
        <v>8</v>
      </c>
      <c r="F69">
        <v>5</v>
      </c>
      <c r="G69">
        <v>187.5</v>
      </c>
      <c r="H69">
        <v>4</v>
      </c>
      <c r="I69">
        <v>35</v>
      </c>
      <c r="J69">
        <v>1</v>
      </c>
      <c r="K69">
        <v>8.75</v>
      </c>
    </row>
    <row r="70" spans="1:11" x14ac:dyDescent="0.3">
      <c r="A70" t="s">
        <v>219</v>
      </c>
      <c r="B70" t="s">
        <v>63</v>
      </c>
      <c r="C70">
        <v>55</v>
      </c>
      <c r="D70">
        <v>35</v>
      </c>
      <c r="E70">
        <v>5</v>
      </c>
      <c r="F70">
        <v>2</v>
      </c>
      <c r="G70">
        <v>157.13999999999999</v>
      </c>
      <c r="H70">
        <v>0</v>
      </c>
      <c r="I70">
        <v>0</v>
      </c>
      <c r="J70">
        <v>0</v>
      </c>
      <c r="K70">
        <v>0</v>
      </c>
    </row>
    <row r="71" spans="1:11" x14ac:dyDescent="0.3">
      <c r="A71" t="s">
        <v>220</v>
      </c>
      <c r="B71" t="s">
        <v>101</v>
      </c>
      <c r="C71">
        <v>110</v>
      </c>
      <c r="D71">
        <v>60</v>
      </c>
      <c r="E71">
        <v>10</v>
      </c>
      <c r="F71">
        <v>6</v>
      </c>
      <c r="G71">
        <v>183.33</v>
      </c>
      <c r="H71">
        <v>0</v>
      </c>
      <c r="I71">
        <v>0</v>
      </c>
      <c r="J71">
        <v>0</v>
      </c>
      <c r="K71">
        <v>0</v>
      </c>
    </row>
    <row r="72" spans="1:11" x14ac:dyDescent="0.3">
      <c r="A72" t="s">
        <v>220</v>
      </c>
      <c r="B72" t="s">
        <v>45</v>
      </c>
      <c r="C72">
        <v>0</v>
      </c>
      <c r="D72">
        <v>0</v>
      </c>
      <c r="E72">
        <v>0</v>
      </c>
      <c r="F72">
        <v>0</v>
      </c>
      <c r="G72">
        <v>0</v>
      </c>
      <c r="H72">
        <v>4</v>
      </c>
      <c r="I72">
        <v>45</v>
      </c>
      <c r="J72">
        <v>1</v>
      </c>
      <c r="K72">
        <v>11.25</v>
      </c>
    </row>
    <row r="73" spans="1:11" x14ac:dyDescent="0.3">
      <c r="A73" t="s">
        <v>221</v>
      </c>
      <c r="B73" t="s">
        <v>27</v>
      </c>
      <c r="C73">
        <v>30</v>
      </c>
      <c r="D73">
        <v>20</v>
      </c>
      <c r="E73">
        <v>2</v>
      </c>
      <c r="F73">
        <v>2</v>
      </c>
      <c r="G73">
        <v>150</v>
      </c>
      <c r="H73">
        <v>4</v>
      </c>
      <c r="I73">
        <v>25</v>
      </c>
      <c r="J73">
        <v>2</v>
      </c>
      <c r="K73">
        <v>6.25</v>
      </c>
    </row>
    <row r="74" spans="1:11" x14ac:dyDescent="0.3">
      <c r="A74" t="s">
        <v>221</v>
      </c>
      <c r="B74" t="s">
        <v>88</v>
      </c>
      <c r="C74">
        <v>0</v>
      </c>
      <c r="D74">
        <v>0</v>
      </c>
      <c r="E74">
        <v>0</v>
      </c>
      <c r="F74">
        <v>0</v>
      </c>
      <c r="G74">
        <v>0</v>
      </c>
      <c r="H74">
        <v>4</v>
      </c>
      <c r="I74">
        <v>38</v>
      </c>
      <c r="J74">
        <v>1</v>
      </c>
      <c r="K74">
        <v>9.5</v>
      </c>
    </row>
    <row r="75" spans="1:11" x14ac:dyDescent="0.3">
      <c r="A75" t="s">
        <v>222</v>
      </c>
      <c r="B75" t="s">
        <v>80</v>
      </c>
      <c r="C75">
        <v>0</v>
      </c>
      <c r="D75">
        <v>0</v>
      </c>
      <c r="E75">
        <v>0</v>
      </c>
      <c r="F75">
        <v>0</v>
      </c>
      <c r="G75">
        <v>0</v>
      </c>
      <c r="H75">
        <v>3.3</v>
      </c>
      <c r="I75">
        <v>18</v>
      </c>
      <c r="J75">
        <v>4</v>
      </c>
      <c r="K75">
        <v>5.14</v>
      </c>
    </row>
    <row r="76" spans="1:11" x14ac:dyDescent="0.3">
      <c r="A76" t="s">
        <v>222</v>
      </c>
      <c r="B76" t="s">
        <v>103</v>
      </c>
      <c r="C76">
        <v>35</v>
      </c>
      <c r="D76">
        <v>28</v>
      </c>
      <c r="E76">
        <v>3</v>
      </c>
      <c r="F76">
        <v>1</v>
      </c>
      <c r="G76">
        <v>125</v>
      </c>
      <c r="H76">
        <v>0</v>
      </c>
      <c r="I76">
        <v>0</v>
      </c>
      <c r="J76">
        <v>0</v>
      </c>
      <c r="K76">
        <v>0</v>
      </c>
    </row>
    <row r="77" spans="1:11" x14ac:dyDescent="0.3">
      <c r="A77" t="s">
        <v>223</v>
      </c>
      <c r="B77" t="s">
        <v>33</v>
      </c>
      <c r="C77">
        <v>0</v>
      </c>
      <c r="D77">
        <v>0</v>
      </c>
      <c r="E77">
        <v>0</v>
      </c>
      <c r="F77">
        <v>0</v>
      </c>
      <c r="G77">
        <v>0</v>
      </c>
      <c r="H77">
        <v>4</v>
      </c>
      <c r="I77">
        <v>22</v>
      </c>
      <c r="J77">
        <v>2</v>
      </c>
      <c r="K77">
        <v>5.5</v>
      </c>
    </row>
    <row r="78" spans="1:11" x14ac:dyDescent="0.3">
      <c r="A78" t="s">
        <v>223</v>
      </c>
      <c r="B78" t="s">
        <v>69</v>
      </c>
      <c r="C78">
        <v>45</v>
      </c>
      <c r="D78">
        <v>30</v>
      </c>
      <c r="E78">
        <v>4</v>
      </c>
      <c r="F78">
        <v>2</v>
      </c>
      <c r="G78">
        <v>150</v>
      </c>
      <c r="H78">
        <v>0</v>
      </c>
      <c r="I78">
        <v>0</v>
      </c>
      <c r="J78">
        <v>0</v>
      </c>
      <c r="K78">
        <v>0</v>
      </c>
    </row>
    <row r="79" spans="1:11" x14ac:dyDescent="0.3">
      <c r="A79" t="s">
        <v>224</v>
      </c>
      <c r="B79" t="s">
        <v>42</v>
      </c>
      <c r="C79">
        <v>120</v>
      </c>
      <c r="D79">
        <v>60</v>
      </c>
      <c r="E79">
        <v>12</v>
      </c>
      <c r="F79">
        <v>7</v>
      </c>
      <c r="G79">
        <v>200</v>
      </c>
      <c r="H79">
        <v>0</v>
      </c>
      <c r="I79">
        <v>0</v>
      </c>
      <c r="J79">
        <v>0</v>
      </c>
      <c r="K79">
        <v>0</v>
      </c>
    </row>
    <row r="80" spans="1:11" x14ac:dyDescent="0.3">
      <c r="A80" t="s">
        <v>224</v>
      </c>
      <c r="B80" t="s">
        <v>58</v>
      </c>
      <c r="C80">
        <v>10</v>
      </c>
      <c r="D80">
        <v>8</v>
      </c>
      <c r="E80">
        <v>0</v>
      </c>
      <c r="F80">
        <v>1</v>
      </c>
      <c r="G80">
        <v>125</v>
      </c>
      <c r="H80">
        <v>4</v>
      </c>
      <c r="I80">
        <v>30</v>
      </c>
      <c r="J80">
        <v>1</v>
      </c>
      <c r="K80">
        <v>7.5</v>
      </c>
    </row>
    <row r="81" spans="1:11" x14ac:dyDescent="0.3">
      <c r="A81" t="s">
        <v>225</v>
      </c>
      <c r="B81" t="s">
        <v>83</v>
      </c>
      <c r="C81">
        <v>85</v>
      </c>
      <c r="D81">
        <v>55</v>
      </c>
      <c r="E81">
        <v>9</v>
      </c>
      <c r="F81">
        <v>2</v>
      </c>
      <c r="G81">
        <v>154.55000000000001</v>
      </c>
      <c r="H81">
        <v>0</v>
      </c>
      <c r="I81">
        <v>0</v>
      </c>
      <c r="J81">
        <v>0</v>
      </c>
      <c r="K81">
        <v>0</v>
      </c>
    </row>
    <row r="82" spans="1:11" x14ac:dyDescent="0.3">
      <c r="A82" t="s">
        <v>225</v>
      </c>
      <c r="B82" t="s">
        <v>93</v>
      </c>
      <c r="C82">
        <v>0</v>
      </c>
      <c r="D82">
        <v>0</v>
      </c>
      <c r="E82">
        <v>0</v>
      </c>
      <c r="F82">
        <v>0</v>
      </c>
      <c r="G82">
        <v>0</v>
      </c>
      <c r="H82">
        <v>4</v>
      </c>
      <c r="I82">
        <v>45</v>
      </c>
      <c r="J82">
        <v>0</v>
      </c>
      <c r="K82">
        <v>11.25</v>
      </c>
    </row>
    <row r="83" spans="1:11" x14ac:dyDescent="0.3">
      <c r="A83" t="s">
        <v>226</v>
      </c>
      <c r="B83" t="s">
        <v>96</v>
      </c>
      <c r="C83">
        <v>70</v>
      </c>
      <c r="D83">
        <v>40</v>
      </c>
      <c r="E83">
        <v>7</v>
      </c>
      <c r="F83">
        <v>3</v>
      </c>
      <c r="G83">
        <v>175</v>
      </c>
      <c r="H83">
        <v>0</v>
      </c>
      <c r="I83">
        <v>0</v>
      </c>
      <c r="J83">
        <v>0</v>
      </c>
      <c r="K83">
        <v>0</v>
      </c>
    </row>
    <row r="84" spans="1:11" x14ac:dyDescent="0.3">
      <c r="A84" t="s">
        <v>226</v>
      </c>
      <c r="B84" t="s">
        <v>15</v>
      </c>
      <c r="C84">
        <v>0</v>
      </c>
      <c r="D84">
        <v>0</v>
      </c>
      <c r="E84">
        <v>0</v>
      </c>
      <c r="F84">
        <v>0</v>
      </c>
      <c r="G84">
        <v>0</v>
      </c>
      <c r="H84">
        <v>4</v>
      </c>
      <c r="I84">
        <v>29</v>
      </c>
      <c r="J84">
        <v>2</v>
      </c>
      <c r="K84">
        <v>7.25</v>
      </c>
    </row>
    <row r="85" spans="1:11" x14ac:dyDescent="0.3">
      <c r="A85" t="s">
        <v>227</v>
      </c>
      <c r="B85" t="s">
        <v>63</v>
      </c>
      <c r="C85">
        <v>90</v>
      </c>
      <c r="D85">
        <v>50</v>
      </c>
      <c r="E85">
        <v>9</v>
      </c>
      <c r="F85">
        <v>4</v>
      </c>
      <c r="G85">
        <v>180</v>
      </c>
      <c r="H85">
        <v>0</v>
      </c>
      <c r="I85">
        <v>0</v>
      </c>
      <c r="J85">
        <v>0</v>
      </c>
      <c r="K85">
        <v>0</v>
      </c>
    </row>
    <row r="86" spans="1:11" x14ac:dyDescent="0.3">
      <c r="A86" t="s">
        <v>227</v>
      </c>
      <c r="B86" t="s">
        <v>36</v>
      </c>
      <c r="C86">
        <v>30</v>
      </c>
      <c r="D86">
        <v>20</v>
      </c>
      <c r="E86">
        <v>2</v>
      </c>
      <c r="F86">
        <v>2</v>
      </c>
      <c r="G86">
        <v>150</v>
      </c>
      <c r="H86">
        <v>0</v>
      </c>
      <c r="I86">
        <v>0</v>
      </c>
      <c r="J86">
        <v>0</v>
      </c>
      <c r="K86">
        <v>0</v>
      </c>
    </row>
    <row r="87" spans="1:11" x14ac:dyDescent="0.3">
      <c r="A87" t="s">
        <v>228</v>
      </c>
      <c r="B87" t="s">
        <v>45</v>
      </c>
      <c r="C87">
        <v>0</v>
      </c>
      <c r="D87">
        <v>0</v>
      </c>
      <c r="E87">
        <v>0</v>
      </c>
      <c r="F87">
        <v>0</v>
      </c>
      <c r="G87">
        <v>0</v>
      </c>
      <c r="H87">
        <v>4</v>
      </c>
      <c r="I87">
        <v>25</v>
      </c>
      <c r="J87">
        <v>3</v>
      </c>
      <c r="K87">
        <v>6.25</v>
      </c>
    </row>
    <row r="88" spans="1:11" x14ac:dyDescent="0.3">
      <c r="A88" t="s">
        <v>228</v>
      </c>
      <c r="B88" t="s">
        <v>19</v>
      </c>
      <c r="C88">
        <v>5</v>
      </c>
      <c r="D88">
        <v>10</v>
      </c>
      <c r="E88">
        <v>0</v>
      </c>
      <c r="F88">
        <v>0</v>
      </c>
      <c r="G88">
        <v>50</v>
      </c>
      <c r="H88">
        <v>0</v>
      </c>
      <c r="I88">
        <v>0</v>
      </c>
      <c r="J88">
        <v>0</v>
      </c>
      <c r="K88">
        <v>0</v>
      </c>
    </row>
    <row r="89" spans="1:11" x14ac:dyDescent="0.3">
      <c r="A89" t="s">
        <v>229</v>
      </c>
      <c r="B89" t="s">
        <v>52</v>
      </c>
      <c r="C89">
        <v>105</v>
      </c>
      <c r="D89">
        <v>55</v>
      </c>
      <c r="E89">
        <v>10</v>
      </c>
      <c r="F89">
        <v>5</v>
      </c>
      <c r="G89">
        <v>190.91</v>
      </c>
      <c r="H89">
        <v>0</v>
      </c>
      <c r="I89">
        <v>0</v>
      </c>
      <c r="J89">
        <v>0</v>
      </c>
      <c r="K89">
        <v>0</v>
      </c>
    </row>
    <row r="90" spans="1:11" x14ac:dyDescent="0.3">
      <c r="A90" t="s">
        <v>229</v>
      </c>
      <c r="B90" t="s">
        <v>78</v>
      </c>
      <c r="C90">
        <v>0</v>
      </c>
      <c r="D90">
        <v>0</v>
      </c>
      <c r="E90">
        <v>0</v>
      </c>
      <c r="F90">
        <v>0</v>
      </c>
      <c r="G90">
        <v>0</v>
      </c>
      <c r="H90">
        <v>4</v>
      </c>
      <c r="I90">
        <v>40</v>
      </c>
      <c r="J90">
        <v>1</v>
      </c>
      <c r="K90">
        <v>10</v>
      </c>
    </row>
    <row r="91" spans="1:11" x14ac:dyDescent="0.3">
      <c r="A91" t="s">
        <v>230</v>
      </c>
      <c r="B91" t="s">
        <v>103</v>
      </c>
      <c r="C91">
        <v>95</v>
      </c>
      <c r="D91">
        <v>58</v>
      </c>
      <c r="E91">
        <v>10</v>
      </c>
      <c r="F91">
        <v>4</v>
      </c>
      <c r="G91">
        <v>163.79</v>
      </c>
      <c r="H91">
        <v>0</v>
      </c>
      <c r="I91">
        <v>0</v>
      </c>
      <c r="J91">
        <v>0</v>
      </c>
      <c r="K91">
        <v>0</v>
      </c>
    </row>
    <row r="92" spans="1:11" x14ac:dyDescent="0.3">
      <c r="A92" t="s">
        <v>230</v>
      </c>
      <c r="B92" t="s">
        <v>63</v>
      </c>
      <c r="C92">
        <v>45</v>
      </c>
      <c r="D92">
        <v>35</v>
      </c>
      <c r="E92">
        <v>4</v>
      </c>
      <c r="F92">
        <v>1</v>
      </c>
      <c r="G92">
        <v>128.57</v>
      </c>
      <c r="H92">
        <v>0</v>
      </c>
      <c r="I92">
        <v>0</v>
      </c>
      <c r="J92">
        <v>0</v>
      </c>
      <c r="K92">
        <v>0</v>
      </c>
    </row>
    <row r="93" spans="1:11" x14ac:dyDescent="0.3">
      <c r="A93" t="s">
        <v>231</v>
      </c>
      <c r="B93" t="s">
        <v>30</v>
      </c>
      <c r="C93">
        <v>58</v>
      </c>
      <c r="D93">
        <v>32</v>
      </c>
      <c r="E93">
        <v>6</v>
      </c>
      <c r="F93">
        <v>3</v>
      </c>
      <c r="G93">
        <v>181.25</v>
      </c>
      <c r="H93">
        <v>0</v>
      </c>
      <c r="I93">
        <v>0</v>
      </c>
      <c r="J93">
        <v>0</v>
      </c>
      <c r="K93">
        <v>0</v>
      </c>
    </row>
    <row r="94" spans="1:11" x14ac:dyDescent="0.3">
      <c r="A94" t="s">
        <v>231</v>
      </c>
      <c r="B94" t="s">
        <v>74</v>
      </c>
      <c r="C94">
        <v>40</v>
      </c>
      <c r="D94">
        <v>28</v>
      </c>
      <c r="E94">
        <v>3</v>
      </c>
      <c r="F94">
        <v>1</v>
      </c>
      <c r="G94">
        <v>142.86000000000001</v>
      </c>
      <c r="H94">
        <v>0</v>
      </c>
      <c r="I94">
        <v>0</v>
      </c>
      <c r="J94">
        <v>0</v>
      </c>
      <c r="K94">
        <v>0</v>
      </c>
    </row>
    <row r="95" spans="1:11" x14ac:dyDescent="0.3">
      <c r="A95" t="s">
        <v>232</v>
      </c>
      <c r="B95" t="s">
        <v>55</v>
      </c>
      <c r="C95">
        <v>34</v>
      </c>
      <c r="D95">
        <v>18</v>
      </c>
      <c r="E95">
        <v>2</v>
      </c>
      <c r="F95">
        <v>3</v>
      </c>
      <c r="G95">
        <v>188.89</v>
      </c>
      <c r="H95">
        <v>4</v>
      </c>
      <c r="I95">
        <v>38</v>
      </c>
      <c r="J95">
        <v>3</v>
      </c>
      <c r="K95">
        <v>9.5</v>
      </c>
    </row>
    <row r="96" spans="1:11" x14ac:dyDescent="0.3">
      <c r="A96" t="s">
        <v>232</v>
      </c>
      <c r="B96" t="s">
        <v>88</v>
      </c>
      <c r="C96">
        <v>0</v>
      </c>
      <c r="D96">
        <v>0</v>
      </c>
      <c r="E96">
        <v>0</v>
      </c>
      <c r="F96">
        <v>0</v>
      </c>
      <c r="G96">
        <v>0</v>
      </c>
      <c r="H96">
        <v>4</v>
      </c>
      <c r="I96">
        <v>30</v>
      </c>
      <c r="J96">
        <v>2</v>
      </c>
      <c r="K96">
        <v>7.5</v>
      </c>
    </row>
    <row r="97" spans="1:11" x14ac:dyDescent="0.3">
      <c r="A97" t="s">
        <v>233</v>
      </c>
      <c r="B97" t="s">
        <v>74</v>
      </c>
      <c r="C97">
        <v>65</v>
      </c>
      <c r="D97">
        <v>40</v>
      </c>
      <c r="E97">
        <v>7</v>
      </c>
      <c r="F97">
        <v>2</v>
      </c>
      <c r="G97">
        <v>162.5</v>
      </c>
      <c r="H97">
        <v>0</v>
      </c>
      <c r="I97">
        <v>0</v>
      </c>
      <c r="J97">
        <v>0</v>
      </c>
      <c r="K97">
        <v>0</v>
      </c>
    </row>
    <row r="98" spans="1:11" x14ac:dyDescent="0.3">
      <c r="A98" t="s">
        <v>233</v>
      </c>
      <c r="B98" t="s">
        <v>15</v>
      </c>
      <c r="C98">
        <v>0</v>
      </c>
      <c r="D98">
        <v>0</v>
      </c>
      <c r="E98">
        <v>0</v>
      </c>
      <c r="F98">
        <v>0</v>
      </c>
      <c r="G98">
        <v>0</v>
      </c>
      <c r="H98">
        <v>3.2</v>
      </c>
      <c r="I98">
        <v>25</v>
      </c>
      <c r="J98">
        <v>3</v>
      </c>
      <c r="K98">
        <v>7.5</v>
      </c>
    </row>
    <row r="99" spans="1:11" x14ac:dyDescent="0.3">
      <c r="A99" t="s">
        <v>234</v>
      </c>
      <c r="B99" t="s">
        <v>83</v>
      </c>
      <c r="C99">
        <v>88</v>
      </c>
      <c r="D99">
        <v>52</v>
      </c>
      <c r="E99">
        <v>8</v>
      </c>
      <c r="F99">
        <v>3</v>
      </c>
      <c r="G99">
        <v>169.23</v>
      </c>
      <c r="H99">
        <v>0</v>
      </c>
      <c r="I99">
        <v>0</v>
      </c>
      <c r="J99">
        <v>0</v>
      </c>
      <c r="K99">
        <v>0</v>
      </c>
    </row>
    <row r="100" spans="1:11" x14ac:dyDescent="0.3">
      <c r="A100" t="s">
        <v>234</v>
      </c>
      <c r="B100" t="s">
        <v>42</v>
      </c>
      <c r="C100">
        <v>5</v>
      </c>
      <c r="D100">
        <v>7</v>
      </c>
      <c r="E100">
        <v>0</v>
      </c>
      <c r="F100">
        <v>0</v>
      </c>
      <c r="G100">
        <v>71.430000000000007</v>
      </c>
      <c r="H100">
        <v>0</v>
      </c>
      <c r="I100">
        <v>0</v>
      </c>
      <c r="J100">
        <v>0</v>
      </c>
      <c r="K100">
        <v>0</v>
      </c>
    </row>
    <row r="101" spans="1:11" x14ac:dyDescent="0.3">
      <c r="A101" t="s">
        <v>235</v>
      </c>
      <c r="B101" t="s">
        <v>58</v>
      </c>
      <c r="C101">
        <v>18</v>
      </c>
      <c r="D101">
        <v>10</v>
      </c>
      <c r="E101">
        <v>1</v>
      </c>
      <c r="F101">
        <v>1</v>
      </c>
      <c r="G101">
        <v>180</v>
      </c>
      <c r="H101">
        <v>4</v>
      </c>
      <c r="I101">
        <v>22</v>
      </c>
      <c r="J101">
        <v>2</v>
      </c>
      <c r="K101">
        <v>5.5</v>
      </c>
    </row>
    <row r="102" spans="1:11" x14ac:dyDescent="0.3">
      <c r="A102" t="s">
        <v>235</v>
      </c>
      <c r="B102" t="s">
        <v>71</v>
      </c>
      <c r="C102">
        <v>0</v>
      </c>
      <c r="D102">
        <v>0</v>
      </c>
      <c r="E102">
        <v>0</v>
      </c>
      <c r="F102">
        <v>0</v>
      </c>
      <c r="G102">
        <v>0</v>
      </c>
      <c r="H102">
        <v>4</v>
      </c>
      <c r="I102">
        <v>25</v>
      </c>
      <c r="J102">
        <v>1</v>
      </c>
      <c r="K102">
        <v>6.25</v>
      </c>
    </row>
    <row r="103" spans="1:11" x14ac:dyDescent="0.3">
      <c r="A103" t="s">
        <v>236</v>
      </c>
      <c r="B103" t="s">
        <v>33</v>
      </c>
      <c r="C103">
        <v>0</v>
      </c>
      <c r="D103">
        <v>0</v>
      </c>
      <c r="E103">
        <v>0</v>
      </c>
      <c r="F103">
        <v>0</v>
      </c>
      <c r="G103">
        <v>0</v>
      </c>
      <c r="H103">
        <v>4</v>
      </c>
      <c r="I103">
        <v>24</v>
      </c>
      <c r="J103">
        <v>3</v>
      </c>
      <c r="K103">
        <v>6</v>
      </c>
    </row>
    <row r="104" spans="1:11" x14ac:dyDescent="0.3">
      <c r="A104" t="s">
        <v>236</v>
      </c>
      <c r="B104" t="s">
        <v>27</v>
      </c>
      <c r="C104">
        <v>35</v>
      </c>
      <c r="D104">
        <v>25</v>
      </c>
      <c r="E104">
        <v>2</v>
      </c>
      <c r="F104">
        <v>2</v>
      </c>
      <c r="G104">
        <v>140</v>
      </c>
      <c r="H104">
        <v>0</v>
      </c>
      <c r="I104">
        <v>0</v>
      </c>
      <c r="J104">
        <v>0</v>
      </c>
      <c r="K104">
        <v>0</v>
      </c>
    </row>
    <row r="105" spans="1:11" x14ac:dyDescent="0.3">
      <c r="A105" t="s">
        <v>237</v>
      </c>
      <c r="B105" t="s">
        <v>101</v>
      </c>
      <c r="C105">
        <v>56</v>
      </c>
      <c r="D105">
        <v>28</v>
      </c>
      <c r="E105">
        <v>3</v>
      </c>
      <c r="F105">
        <v>5</v>
      </c>
      <c r="G105">
        <v>200</v>
      </c>
      <c r="H105">
        <v>0</v>
      </c>
      <c r="I105">
        <v>0</v>
      </c>
      <c r="J105">
        <v>0</v>
      </c>
      <c r="K105">
        <v>0</v>
      </c>
    </row>
    <row r="106" spans="1:11" x14ac:dyDescent="0.3">
      <c r="A106" t="s">
        <v>237</v>
      </c>
      <c r="B106" t="s">
        <v>52</v>
      </c>
      <c r="C106">
        <v>22</v>
      </c>
      <c r="D106">
        <v>19</v>
      </c>
      <c r="E106">
        <v>1</v>
      </c>
      <c r="F106">
        <v>0</v>
      </c>
      <c r="G106">
        <v>115.79</v>
      </c>
      <c r="H106">
        <v>0</v>
      </c>
      <c r="I106">
        <v>0</v>
      </c>
      <c r="J106">
        <v>0</v>
      </c>
      <c r="K106">
        <v>0</v>
      </c>
    </row>
    <row r="107" spans="1:11" x14ac:dyDescent="0.3">
      <c r="A107" t="s">
        <v>238</v>
      </c>
      <c r="B107" t="s">
        <v>60</v>
      </c>
      <c r="C107">
        <v>0</v>
      </c>
      <c r="D107">
        <v>0</v>
      </c>
      <c r="E107">
        <v>0</v>
      </c>
      <c r="F107">
        <v>0</v>
      </c>
      <c r="G107">
        <v>0</v>
      </c>
      <c r="H107">
        <v>3.3</v>
      </c>
      <c r="I107">
        <v>19</v>
      </c>
      <c r="J107">
        <v>4</v>
      </c>
      <c r="K107">
        <v>5.43</v>
      </c>
    </row>
    <row r="108" spans="1:11" x14ac:dyDescent="0.3">
      <c r="A108" t="s">
        <v>238</v>
      </c>
      <c r="B108" t="s">
        <v>42</v>
      </c>
      <c r="C108">
        <v>40</v>
      </c>
      <c r="D108">
        <v>30</v>
      </c>
      <c r="E108">
        <v>3</v>
      </c>
      <c r="F108">
        <v>1</v>
      </c>
      <c r="G108">
        <v>133.33000000000001</v>
      </c>
      <c r="H108">
        <v>0</v>
      </c>
      <c r="I108">
        <v>0</v>
      </c>
      <c r="J108">
        <v>0</v>
      </c>
      <c r="K108">
        <v>0</v>
      </c>
    </row>
    <row r="109" spans="1:11" x14ac:dyDescent="0.3">
      <c r="A109" t="s">
        <v>239</v>
      </c>
      <c r="B109" t="s">
        <v>66</v>
      </c>
      <c r="C109">
        <v>0</v>
      </c>
      <c r="D109">
        <v>0</v>
      </c>
      <c r="E109">
        <v>0</v>
      </c>
      <c r="F109">
        <v>0</v>
      </c>
      <c r="G109">
        <v>0</v>
      </c>
      <c r="H109">
        <v>4</v>
      </c>
      <c r="I109">
        <v>17</v>
      </c>
      <c r="J109">
        <v>2</v>
      </c>
      <c r="K109">
        <v>4.25</v>
      </c>
    </row>
    <row r="110" spans="1:11" x14ac:dyDescent="0.3">
      <c r="A110" t="s">
        <v>239</v>
      </c>
      <c r="B110" t="s">
        <v>91</v>
      </c>
      <c r="C110">
        <v>12</v>
      </c>
      <c r="D110">
        <v>14</v>
      </c>
      <c r="E110">
        <v>1</v>
      </c>
      <c r="F110">
        <v>0</v>
      </c>
      <c r="G110">
        <v>85.71</v>
      </c>
      <c r="H110">
        <v>0</v>
      </c>
      <c r="I110">
        <v>0</v>
      </c>
      <c r="J110">
        <v>0</v>
      </c>
      <c r="K110">
        <v>0</v>
      </c>
    </row>
    <row r="111" spans="1:11" x14ac:dyDescent="0.3">
      <c r="A111" t="s">
        <v>240</v>
      </c>
      <c r="B111" t="s">
        <v>85</v>
      </c>
      <c r="C111">
        <v>75</v>
      </c>
      <c r="D111">
        <v>45</v>
      </c>
      <c r="E111">
        <v>5</v>
      </c>
      <c r="F111">
        <v>4</v>
      </c>
      <c r="G111">
        <v>166.67</v>
      </c>
      <c r="H111">
        <v>0</v>
      </c>
      <c r="I111">
        <v>0</v>
      </c>
      <c r="J111">
        <v>0</v>
      </c>
      <c r="K111">
        <v>0</v>
      </c>
    </row>
    <row r="112" spans="1:11" x14ac:dyDescent="0.3">
      <c r="A112" t="s">
        <v>240</v>
      </c>
      <c r="B112" t="s">
        <v>45</v>
      </c>
      <c r="C112">
        <v>25</v>
      </c>
      <c r="D112">
        <v>18</v>
      </c>
      <c r="E112">
        <v>1</v>
      </c>
      <c r="F112">
        <v>1</v>
      </c>
      <c r="G112">
        <v>138.88999999999999</v>
      </c>
      <c r="H112">
        <v>4</v>
      </c>
      <c r="I112">
        <v>35</v>
      </c>
      <c r="J112">
        <v>1</v>
      </c>
      <c r="K112">
        <v>8.75</v>
      </c>
    </row>
    <row r="113" spans="1:11" x14ac:dyDescent="0.3">
      <c r="A113" t="s">
        <v>241</v>
      </c>
      <c r="B113" t="s">
        <v>36</v>
      </c>
      <c r="C113">
        <v>48</v>
      </c>
      <c r="D113">
        <v>32</v>
      </c>
      <c r="E113">
        <v>4</v>
      </c>
      <c r="F113">
        <v>1</v>
      </c>
      <c r="G113">
        <v>150</v>
      </c>
      <c r="H113">
        <v>0</v>
      </c>
      <c r="I113">
        <v>0</v>
      </c>
      <c r="J113">
        <v>0</v>
      </c>
      <c r="K113">
        <v>0</v>
      </c>
    </row>
    <row r="114" spans="1:11" x14ac:dyDescent="0.3">
      <c r="A114" t="s">
        <v>241</v>
      </c>
      <c r="B114" t="s">
        <v>15</v>
      </c>
      <c r="C114">
        <v>0</v>
      </c>
      <c r="D114">
        <v>0</v>
      </c>
      <c r="E114">
        <v>0</v>
      </c>
      <c r="F114">
        <v>0</v>
      </c>
      <c r="G114">
        <v>0</v>
      </c>
      <c r="H114">
        <v>4</v>
      </c>
      <c r="I114">
        <v>30</v>
      </c>
      <c r="J114">
        <v>2</v>
      </c>
      <c r="K114">
        <v>7.5</v>
      </c>
    </row>
    <row r="115" spans="1:11" x14ac:dyDescent="0.3">
      <c r="A115" t="s">
        <v>242</v>
      </c>
      <c r="B115" t="s">
        <v>42</v>
      </c>
      <c r="C115">
        <v>105</v>
      </c>
      <c r="D115">
        <v>60</v>
      </c>
      <c r="E115">
        <v>12</v>
      </c>
      <c r="F115">
        <v>3</v>
      </c>
      <c r="G115">
        <v>175</v>
      </c>
      <c r="H115">
        <v>0</v>
      </c>
      <c r="I115">
        <v>0</v>
      </c>
      <c r="J115">
        <v>0</v>
      </c>
      <c r="K115">
        <v>0</v>
      </c>
    </row>
    <row r="116" spans="1:11" x14ac:dyDescent="0.3">
      <c r="A116" t="s">
        <v>242</v>
      </c>
      <c r="B116" t="s">
        <v>69</v>
      </c>
      <c r="C116">
        <v>0</v>
      </c>
      <c r="D116">
        <v>0</v>
      </c>
      <c r="E116">
        <v>0</v>
      </c>
      <c r="F116">
        <v>0</v>
      </c>
      <c r="G116">
        <v>0</v>
      </c>
      <c r="H116">
        <v>4</v>
      </c>
      <c r="I116">
        <v>40</v>
      </c>
      <c r="J116">
        <v>1</v>
      </c>
      <c r="K116">
        <v>10</v>
      </c>
    </row>
    <row r="117" spans="1:11" x14ac:dyDescent="0.3">
      <c r="A117" t="s">
        <v>243</v>
      </c>
      <c r="B117" t="s">
        <v>8</v>
      </c>
      <c r="C117">
        <v>88</v>
      </c>
      <c r="D117">
        <v>48</v>
      </c>
      <c r="E117">
        <v>9</v>
      </c>
      <c r="F117">
        <v>4</v>
      </c>
      <c r="G117">
        <v>183.33</v>
      </c>
      <c r="H117">
        <v>0</v>
      </c>
      <c r="I117">
        <v>0</v>
      </c>
      <c r="J117">
        <v>0</v>
      </c>
      <c r="K117">
        <v>0</v>
      </c>
    </row>
    <row r="118" spans="1:11" x14ac:dyDescent="0.3">
      <c r="A118" t="s">
        <v>243</v>
      </c>
      <c r="B118" t="s">
        <v>78</v>
      </c>
      <c r="C118">
        <v>0</v>
      </c>
      <c r="D118">
        <v>0</v>
      </c>
      <c r="E118">
        <v>0</v>
      </c>
      <c r="F118">
        <v>0</v>
      </c>
      <c r="G118">
        <v>0</v>
      </c>
      <c r="H118">
        <v>4</v>
      </c>
      <c r="I118">
        <v>30</v>
      </c>
      <c r="J118">
        <v>1</v>
      </c>
      <c r="K118">
        <v>7.5</v>
      </c>
    </row>
    <row r="119" spans="1:11" x14ac:dyDescent="0.3">
      <c r="A119" t="s">
        <v>244</v>
      </c>
      <c r="B119" t="s">
        <v>96</v>
      </c>
      <c r="C119">
        <v>65</v>
      </c>
      <c r="D119">
        <v>40</v>
      </c>
      <c r="E119">
        <v>6</v>
      </c>
      <c r="F119">
        <v>2</v>
      </c>
      <c r="G119">
        <v>162.5</v>
      </c>
      <c r="H119">
        <v>0</v>
      </c>
      <c r="I119">
        <v>0</v>
      </c>
      <c r="J119">
        <v>0</v>
      </c>
      <c r="K119">
        <v>0</v>
      </c>
    </row>
    <row r="120" spans="1:11" x14ac:dyDescent="0.3">
      <c r="A120" t="s">
        <v>244</v>
      </c>
      <c r="B120" t="s">
        <v>52</v>
      </c>
      <c r="C120">
        <v>10</v>
      </c>
      <c r="D120">
        <v>8</v>
      </c>
      <c r="E120">
        <v>0</v>
      </c>
      <c r="F120">
        <v>1</v>
      </c>
      <c r="G120">
        <v>125</v>
      </c>
      <c r="H120">
        <v>0</v>
      </c>
      <c r="I120">
        <v>0</v>
      </c>
      <c r="J120">
        <v>0</v>
      </c>
      <c r="K120">
        <v>0</v>
      </c>
    </row>
    <row r="121" spans="1:11" x14ac:dyDescent="0.3">
      <c r="A121" t="s">
        <v>245</v>
      </c>
      <c r="B121" t="s">
        <v>88</v>
      </c>
      <c r="C121">
        <v>0</v>
      </c>
      <c r="D121">
        <v>0</v>
      </c>
      <c r="E121">
        <v>0</v>
      </c>
      <c r="F121">
        <v>0</v>
      </c>
      <c r="G121">
        <v>0</v>
      </c>
      <c r="H121">
        <v>4</v>
      </c>
      <c r="I121">
        <v>22</v>
      </c>
      <c r="J121">
        <v>3</v>
      </c>
      <c r="K121">
        <v>5.5</v>
      </c>
    </row>
    <row r="122" spans="1:11" x14ac:dyDescent="0.3">
      <c r="A122" t="s">
        <v>245</v>
      </c>
      <c r="B122" t="s">
        <v>19</v>
      </c>
      <c r="C122">
        <v>40</v>
      </c>
      <c r="D122">
        <v>30</v>
      </c>
      <c r="E122">
        <v>4</v>
      </c>
      <c r="F122">
        <v>1</v>
      </c>
      <c r="G122">
        <v>133.33000000000001</v>
      </c>
      <c r="H122">
        <v>0</v>
      </c>
      <c r="I122">
        <v>0</v>
      </c>
      <c r="J122">
        <v>0</v>
      </c>
      <c r="K122">
        <v>0</v>
      </c>
    </row>
    <row r="123" spans="1:11" x14ac:dyDescent="0.3">
      <c r="A123" t="s">
        <v>246</v>
      </c>
      <c r="B123" t="s">
        <v>30</v>
      </c>
      <c r="C123">
        <v>60</v>
      </c>
      <c r="D123">
        <v>35</v>
      </c>
      <c r="E123">
        <v>7</v>
      </c>
      <c r="F123">
        <v>2</v>
      </c>
      <c r="G123">
        <v>171.43</v>
      </c>
      <c r="H123">
        <v>0</v>
      </c>
      <c r="I123">
        <v>0</v>
      </c>
      <c r="J123">
        <v>0</v>
      </c>
      <c r="K123">
        <v>0</v>
      </c>
    </row>
    <row r="124" spans="1:11" x14ac:dyDescent="0.3">
      <c r="A124" t="s">
        <v>247</v>
      </c>
      <c r="B124" t="s">
        <v>103</v>
      </c>
      <c r="C124">
        <v>75</v>
      </c>
      <c r="D124">
        <v>45</v>
      </c>
      <c r="E124">
        <v>8</v>
      </c>
      <c r="F124">
        <v>3</v>
      </c>
      <c r="G124">
        <v>166.67</v>
      </c>
      <c r="H124">
        <v>0</v>
      </c>
      <c r="I124">
        <v>0</v>
      </c>
      <c r="J124">
        <v>0</v>
      </c>
      <c r="K124">
        <v>0</v>
      </c>
    </row>
    <row r="125" spans="1:11" x14ac:dyDescent="0.3">
      <c r="A125" t="s">
        <v>248</v>
      </c>
      <c r="B125" t="s">
        <v>55</v>
      </c>
      <c r="C125">
        <v>45</v>
      </c>
      <c r="D125">
        <v>25</v>
      </c>
      <c r="E125">
        <v>3</v>
      </c>
      <c r="F125">
        <v>4</v>
      </c>
      <c r="G125">
        <v>180</v>
      </c>
      <c r="H125">
        <v>4</v>
      </c>
      <c r="I125">
        <v>35</v>
      </c>
      <c r="J125">
        <v>2</v>
      </c>
      <c r="K125">
        <v>8.75</v>
      </c>
    </row>
    <row r="126" spans="1:11" x14ac:dyDescent="0.3">
      <c r="A126" t="s">
        <v>249</v>
      </c>
      <c r="B126" t="s">
        <v>74</v>
      </c>
      <c r="C126">
        <v>90</v>
      </c>
      <c r="D126">
        <v>50</v>
      </c>
      <c r="E126">
        <v>9</v>
      </c>
      <c r="F126">
        <v>3</v>
      </c>
      <c r="G126">
        <v>180</v>
      </c>
      <c r="H126">
        <v>0</v>
      </c>
      <c r="I126">
        <v>0</v>
      </c>
      <c r="J126">
        <v>0</v>
      </c>
      <c r="K126">
        <v>0</v>
      </c>
    </row>
    <row r="127" spans="1:11" x14ac:dyDescent="0.3">
      <c r="A127" t="s">
        <v>250</v>
      </c>
      <c r="B127" t="s">
        <v>83</v>
      </c>
      <c r="C127">
        <v>50</v>
      </c>
      <c r="D127">
        <v>30</v>
      </c>
      <c r="E127">
        <v>5</v>
      </c>
      <c r="F127">
        <v>2</v>
      </c>
      <c r="G127">
        <v>166.67</v>
      </c>
      <c r="H127">
        <v>0</v>
      </c>
      <c r="I127">
        <v>0</v>
      </c>
      <c r="J127">
        <v>0</v>
      </c>
      <c r="K127">
        <v>0</v>
      </c>
    </row>
    <row r="128" spans="1:11" x14ac:dyDescent="0.3">
      <c r="A128" t="s">
        <v>251</v>
      </c>
      <c r="B128" t="s">
        <v>58</v>
      </c>
      <c r="C128">
        <v>25</v>
      </c>
      <c r="D128">
        <v>15</v>
      </c>
      <c r="E128">
        <v>2</v>
      </c>
      <c r="F128">
        <v>2</v>
      </c>
      <c r="G128">
        <v>166.67</v>
      </c>
      <c r="H128">
        <v>4</v>
      </c>
      <c r="I128">
        <v>20</v>
      </c>
      <c r="J128">
        <v>3</v>
      </c>
      <c r="K128">
        <v>5</v>
      </c>
    </row>
    <row r="129" spans="1:11" x14ac:dyDescent="0.3">
      <c r="A129" t="s">
        <v>252</v>
      </c>
      <c r="B129" t="s">
        <v>33</v>
      </c>
      <c r="C129">
        <v>0</v>
      </c>
      <c r="D129">
        <v>0</v>
      </c>
      <c r="E129">
        <v>0</v>
      </c>
      <c r="F129">
        <v>0</v>
      </c>
      <c r="G129">
        <v>0</v>
      </c>
      <c r="H129">
        <v>4</v>
      </c>
      <c r="I129">
        <v>25</v>
      </c>
      <c r="J129">
        <v>3</v>
      </c>
      <c r="K129">
        <v>6.25</v>
      </c>
    </row>
    <row r="130" spans="1:11" x14ac:dyDescent="0.3">
      <c r="A130" t="s">
        <v>253</v>
      </c>
      <c r="B130" t="s">
        <v>101</v>
      </c>
      <c r="C130">
        <v>40</v>
      </c>
      <c r="D130">
        <v>20</v>
      </c>
      <c r="E130">
        <v>4</v>
      </c>
      <c r="F130">
        <v>3</v>
      </c>
      <c r="G130">
        <v>200</v>
      </c>
      <c r="H130">
        <v>0</v>
      </c>
      <c r="I130">
        <v>0</v>
      </c>
      <c r="J130">
        <v>0</v>
      </c>
      <c r="K130">
        <v>0</v>
      </c>
    </row>
    <row r="131" spans="1:11" x14ac:dyDescent="0.3">
      <c r="A131" t="s">
        <v>254</v>
      </c>
      <c r="B131" t="s">
        <v>60</v>
      </c>
      <c r="C131">
        <v>0</v>
      </c>
      <c r="D131">
        <v>0</v>
      </c>
      <c r="E131">
        <v>0</v>
      </c>
      <c r="F131">
        <v>0</v>
      </c>
      <c r="G131">
        <v>0</v>
      </c>
      <c r="H131">
        <v>4</v>
      </c>
      <c r="I131">
        <v>22</v>
      </c>
      <c r="J131">
        <v>3</v>
      </c>
      <c r="K131">
        <v>5.5</v>
      </c>
    </row>
    <row r="132" spans="1:11" x14ac:dyDescent="0.3">
      <c r="A132" t="s">
        <v>255</v>
      </c>
      <c r="B132" t="s">
        <v>66</v>
      </c>
      <c r="C132">
        <v>0</v>
      </c>
      <c r="D132">
        <v>0</v>
      </c>
      <c r="E132">
        <v>0</v>
      </c>
      <c r="F132">
        <v>0</v>
      </c>
      <c r="G132">
        <v>0</v>
      </c>
      <c r="H132">
        <v>4</v>
      </c>
      <c r="I132">
        <v>15</v>
      </c>
      <c r="J132">
        <v>2</v>
      </c>
      <c r="K132">
        <v>3.75</v>
      </c>
    </row>
    <row r="133" spans="1:11" x14ac:dyDescent="0.3">
      <c r="A133" t="s">
        <v>256</v>
      </c>
      <c r="B133" t="s">
        <v>85</v>
      </c>
      <c r="C133">
        <v>65</v>
      </c>
      <c r="D133">
        <v>40</v>
      </c>
      <c r="E133">
        <v>6</v>
      </c>
      <c r="F133">
        <v>3</v>
      </c>
      <c r="G133">
        <v>162.5</v>
      </c>
      <c r="H133">
        <v>0</v>
      </c>
      <c r="I133">
        <v>0</v>
      </c>
      <c r="J133">
        <v>0</v>
      </c>
      <c r="K133">
        <v>0</v>
      </c>
    </row>
    <row r="134" spans="1:11" x14ac:dyDescent="0.3">
      <c r="A134" t="s">
        <v>257</v>
      </c>
      <c r="B134" t="s">
        <v>36</v>
      </c>
      <c r="C134">
        <v>55</v>
      </c>
      <c r="D134">
        <v>35</v>
      </c>
      <c r="E134">
        <v>5</v>
      </c>
      <c r="F134">
        <v>2</v>
      </c>
      <c r="G134">
        <v>157.13999999999999</v>
      </c>
      <c r="H134">
        <v>0</v>
      </c>
      <c r="I134">
        <v>0</v>
      </c>
      <c r="J134">
        <v>0</v>
      </c>
      <c r="K134">
        <v>0</v>
      </c>
    </row>
    <row r="135" spans="1:11" x14ac:dyDescent="0.3">
      <c r="A135" t="s">
        <v>258</v>
      </c>
      <c r="B135" t="s">
        <v>42</v>
      </c>
      <c r="C135">
        <v>85</v>
      </c>
      <c r="D135">
        <v>50</v>
      </c>
      <c r="E135">
        <v>8</v>
      </c>
      <c r="F135">
        <v>3</v>
      </c>
      <c r="G135">
        <v>170</v>
      </c>
      <c r="H135">
        <v>0</v>
      </c>
      <c r="I135">
        <v>0</v>
      </c>
      <c r="J135">
        <v>0</v>
      </c>
      <c r="K135">
        <v>0</v>
      </c>
    </row>
    <row r="136" spans="1:11" x14ac:dyDescent="0.3">
      <c r="A136" t="s">
        <v>259</v>
      </c>
      <c r="B136" t="s">
        <v>8</v>
      </c>
      <c r="C136">
        <v>70</v>
      </c>
      <c r="D136">
        <v>45</v>
      </c>
      <c r="E136">
        <v>7</v>
      </c>
      <c r="F136">
        <v>3</v>
      </c>
      <c r="G136">
        <v>155.56</v>
      </c>
      <c r="H136">
        <v>0</v>
      </c>
      <c r="I136">
        <v>0</v>
      </c>
      <c r="J136">
        <v>0</v>
      </c>
      <c r="K136">
        <v>0</v>
      </c>
    </row>
    <row r="137" spans="1:11" x14ac:dyDescent="0.3">
      <c r="A137" t="s">
        <v>260</v>
      </c>
      <c r="B137" t="s">
        <v>96</v>
      </c>
      <c r="C137">
        <v>55</v>
      </c>
      <c r="D137">
        <v>35</v>
      </c>
      <c r="E137">
        <v>5</v>
      </c>
      <c r="F137">
        <v>2</v>
      </c>
      <c r="G137">
        <v>157.13999999999999</v>
      </c>
      <c r="H137">
        <v>0</v>
      </c>
      <c r="I137">
        <v>0</v>
      </c>
      <c r="J137">
        <v>0</v>
      </c>
      <c r="K137">
        <v>0</v>
      </c>
    </row>
    <row r="138" spans="1:11" x14ac:dyDescent="0.3">
      <c r="A138" t="s">
        <v>261</v>
      </c>
      <c r="B138" t="s">
        <v>88</v>
      </c>
      <c r="C138">
        <v>0</v>
      </c>
      <c r="D138">
        <v>0</v>
      </c>
      <c r="E138">
        <v>0</v>
      </c>
      <c r="F138">
        <v>0</v>
      </c>
      <c r="G138">
        <v>0</v>
      </c>
      <c r="H138">
        <v>4</v>
      </c>
      <c r="I138">
        <v>28</v>
      </c>
      <c r="J138">
        <v>3</v>
      </c>
      <c r="K138">
        <v>7</v>
      </c>
    </row>
    <row r="139" spans="1:11" x14ac:dyDescent="0.3">
      <c r="A139" t="s">
        <v>262</v>
      </c>
      <c r="B139" t="s">
        <v>15</v>
      </c>
      <c r="C139">
        <v>0</v>
      </c>
      <c r="D139">
        <v>0</v>
      </c>
      <c r="E139">
        <v>0</v>
      </c>
      <c r="F139">
        <v>0</v>
      </c>
      <c r="G139">
        <v>0</v>
      </c>
      <c r="H139">
        <v>4</v>
      </c>
      <c r="I139">
        <v>25</v>
      </c>
      <c r="J139">
        <v>2</v>
      </c>
      <c r="K139">
        <v>6.25</v>
      </c>
    </row>
    <row r="140" spans="1:11" x14ac:dyDescent="0.3">
      <c r="A140" t="s">
        <v>263</v>
      </c>
      <c r="B140" t="s">
        <v>99</v>
      </c>
      <c r="C140">
        <v>0</v>
      </c>
      <c r="D140">
        <v>0</v>
      </c>
      <c r="E140">
        <v>0</v>
      </c>
      <c r="F140">
        <v>0</v>
      </c>
      <c r="G140">
        <v>0</v>
      </c>
      <c r="H140">
        <v>4</v>
      </c>
      <c r="I140">
        <v>35</v>
      </c>
      <c r="J140">
        <v>1</v>
      </c>
      <c r="K140">
        <v>8.75</v>
      </c>
    </row>
    <row r="141" spans="1:11" x14ac:dyDescent="0.3">
      <c r="A141" t="s">
        <v>264</v>
      </c>
      <c r="B141" t="s">
        <v>42</v>
      </c>
      <c r="C141">
        <v>90</v>
      </c>
      <c r="D141">
        <v>55</v>
      </c>
      <c r="E141">
        <v>9</v>
      </c>
      <c r="F141">
        <v>3</v>
      </c>
      <c r="G141">
        <v>163.63999999999999</v>
      </c>
      <c r="H141">
        <v>0</v>
      </c>
      <c r="I141">
        <v>0</v>
      </c>
      <c r="J141">
        <v>0</v>
      </c>
      <c r="K141">
        <v>0</v>
      </c>
    </row>
    <row r="142" spans="1:11" x14ac:dyDescent="0.3">
      <c r="A142" t="s">
        <v>265</v>
      </c>
      <c r="B142" t="s">
        <v>19</v>
      </c>
      <c r="C142">
        <v>45</v>
      </c>
      <c r="D142">
        <v>30</v>
      </c>
      <c r="E142">
        <v>4</v>
      </c>
      <c r="F142">
        <v>2</v>
      </c>
      <c r="G142">
        <v>150</v>
      </c>
      <c r="H142">
        <v>0</v>
      </c>
      <c r="I142">
        <v>0</v>
      </c>
      <c r="J142">
        <v>0</v>
      </c>
      <c r="K142">
        <v>0</v>
      </c>
    </row>
    <row r="143" spans="1:11" x14ac:dyDescent="0.3">
      <c r="A143" t="s">
        <v>266</v>
      </c>
      <c r="B143" t="s">
        <v>24</v>
      </c>
      <c r="C143">
        <v>50</v>
      </c>
      <c r="D143">
        <v>30</v>
      </c>
      <c r="E143">
        <v>5</v>
      </c>
      <c r="F143">
        <v>2</v>
      </c>
      <c r="G143">
        <v>166.67</v>
      </c>
      <c r="H143">
        <v>0</v>
      </c>
      <c r="I143">
        <v>0</v>
      </c>
      <c r="J143">
        <v>0</v>
      </c>
      <c r="K143">
        <v>0</v>
      </c>
    </row>
    <row r="144" spans="1:11" x14ac:dyDescent="0.3">
      <c r="A144" t="s">
        <v>267</v>
      </c>
      <c r="B144" t="s">
        <v>71</v>
      </c>
      <c r="C144">
        <v>0</v>
      </c>
      <c r="D144">
        <v>0</v>
      </c>
      <c r="E144">
        <v>0</v>
      </c>
      <c r="F144">
        <v>0</v>
      </c>
      <c r="G144">
        <v>0</v>
      </c>
      <c r="H144">
        <v>4</v>
      </c>
      <c r="I144">
        <v>20</v>
      </c>
      <c r="J144">
        <v>3</v>
      </c>
      <c r="K144">
        <v>5</v>
      </c>
    </row>
    <row r="145" spans="1:11" x14ac:dyDescent="0.3">
      <c r="A145" t="s">
        <v>268</v>
      </c>
      <c r="B145" t="s">
        <v>93</v>
      </c>
      <c r="C145">
        <v>0</v>
      </c>
      <c r="D145">
        <v>0</v>
      </c>
      <c r="E145">
        <v>0</v>
      </c>
      <c r="F145">
        <v>0</v>
      </c>
      <c r="G145">
        <v>0</v>
      </c>
      <c r="H145">
        <v>4</v>
      </c>
      <c r="I145">
        <v>22</v>
      </c>
      <c r="J145">
        <v>2</v>
      </c>
      <c r="K145">
        <v>5.5</v>
      </c>
    </row>
    <row r="146" spans="1:11" x14ac:dyDescent="0.3">
      <c r="A146" t="s">
        <v>269</v>
      </c>
      <c r="B146" t="s">
        <v>55</v>
      </c>
      <c r="C146">
        <v>80</v>
      </c>
      <c r="D146">
        <v>40</v>
      </c>
      <c r="E146">
        <v>8</v>
      </c>
      <c r="F146">
        <v>4</v>
      </c>
      <c r="G146">
        <v>200</v>
      </c>
      <c r="H146">
        <v>4</v>
      </c>
      <c r="I146">
        <v>30</v>
      </c>
      <c r="J146">
        <v>1</v>
      </c>
      <c r="K146">
        <v>7.5</v>
      </c>
    </row>
    <row r="147" spans="1:11" x14ac:dyDescent="0.3">
      <c r="A147" t="s">
        <v>270</v>
      </c>
      <c r="B147" t="s">
        <v>101</v>
      </c>
      <c r="C147">
        <v>65</v>
      </c>
      <c r="D147">
        <v>35</v>
      </c>
      <c r="E147">
        <v>6</v>
      </c>
      <c r="F147">
        <v>4</v>
      </c>
      <c r="G147">
        <v>185.71</v>
      </c>
      <c r="H147">
        <v>0</v>
      </c>
      <c r="I147">
        <v>0</v>
      </c>
      <c r="J147">
        <v>0</v>
      </c>
      <c r="K147">
        <v>0</v>
      </c>
    </row>
    <row r="148" spans="1:11" x14ac:dyDescent="0.3">
      <c r="A148" t="s">
        <v>271</v>
      </c>
      <c r="B148" t="s">
        <v>27</v>
      </c>
      <c r="C148">
        <v>40</v>
      </c>
      <c r="D148">
        <v>25</v>
      </c>
      <c r="E148">
        <v>3</v>
      </c>
      <c r="F148">
        <v>2</v>
      </c>
      <c r="G148">
        <v>160</v>
      </c>
      <c r="H148">
        <v>4</v>
      </c>
      <c r="I148">
        <v>30</v>
      </c>
      <c r="J148">
        <v>2</v>
      </c>
      <c r="K148">
        <v>7.5</v>
      </c>
    </row>
    <row r="149" spans="1:11" x14ac:dyDescent="0.3">
      <c r="A149" t="s">
        <v>272</v>
      </c>
      <c r="B149" t="s">
        <v>80</v>
      </c>
      <c r="C149">
        <v>0</v>
      </c>
      <c r="D149">
        <v>0</v>
      </c>
      <c r="E149">
        <v>0</v>
      </c>
      <c r="F149">
        <v>0</v>
      </c>
      <c r="G149">
        <v>0</v>
      </c>
      <c r="H149">
        <v>3.5</v>
      </c>
      <c r="I149">
        <v>15</v>
      </c>
      <c r="J149">
        <v>3</v>
      </c>
      <c r="K149">
        <v>3.86</v>
      </c>
    </row>
    <row r="150" spans="1:11" x14ac:dyDescent="0.3">
      <c r="A150" t="s">
        <v>273</v>
      </c>
      <c r="B150" t="s">
        <v>69</v>
      </c>
      <c r="C150">
        <v>55</v>
      </c>
      <c r="D150">
        <v>30</v>
      </c>
      <c r="E150">
        <v>5</v>
      </c>
      <c r="F150">
        <v>3</v>
      </c>
      <c r="G150">
        <v>183.33</v>
      </c>
      <c r="H150">
        <v>0</v>
      </c>
      <c r="I150">
        <v>0</v>
      </c>
      <c r="J150">
        <v>0</v>
      </c>
      <c r="K150">
        <v>0</v>
      </c>
    </row>
    <row r="151" spans="1:11" x14ac:dyDescent="0.3">
      <c r="A151" t="s">
        <v>274</v>
      </c>
      <c r="B151" t="s">
        <v>42</v>
      </c>
      <c r="C151">
        <v>70</v>
      </c>
      <c r="D151">
        <v>40</v>
      </c>
      <c r="E151">
        <v>7</v>
      </c>
      <c r="F151">
        <v>3</v>
      </c>
      <c r="G151">
        <v>175</v>
      </c>
      <c r="H151">
        <v>0</v>
      </c>
      <c r="I151">
        <v>0</v>
      </c>
      <c r="J151">
        <v>0</v>
      </c>
      <c r="K151">
        <v>0</v>
      </c>
    </row>
    <row r="152" spans="1:11" x14ac:dyDescent="0.3">
      <c r="A152" t="s">
        <v>275</v>
      </c>
      <c r="B152" t="s">
        <v>83</v>
      </c>
      <c r="C152">
        <v>60</v>
      </c>
      <c r="D152">
        <v>40</v>
      </c>
      <c r="E152">
        <v>6</v>
      </c>
      <c r="F152">
        <v>2</v>
      </c>
      <c r="G152">
        <v>150</v>
      </c>
      <c r="H152">
        <v>0</v>
      </c>
      <c r="I152">
        <v>0</v>
      </c>
      <c r="J152">
        <v>0</v>
      </c>
      <c r="K152">
        <v>0</v>
      </c>
    </row>
    <row r="153" spans="1:11" x14ac:dyDescent="0.3">
      <c r="A153" t="s">
        <v>276</v>
      </c>
      <c r="B153" t="s">
        <v>96</v>
      </c>
      <c r="C153">
        <v>80</v>
      </c>
      <c r="D153">
        <v>45</v>
      </c>
      <c r="E153">
        <v>8</v>
      </c>
      <c r="F153">
        <v>3</v>
      </c>
      <c r="G153">
        <v>177.78</v>
      </c>
      <c r="H153">
        <v>0</v>
      </c>
      <c r="I153">
        <v>0</v>
      </c>
      <c r="J153">
        <v>0</v>
      </c>
      <c r="K153">
        <v>0</v>
      </c>
    </row>
    <row r="154" spans="1:11" x14ac:dyDescent="0.3">
      <c r="A154" t="s">
        <v>277</v>
      </c>
      <c r="B154" t="s">
        <v>15</v>
      </c>
      <c r="C154">
        <v>0</v>
      </c>
      <c r="D154">
        <v>0</v>
      </c>
      <c r="E154">
        <v>0</v>
      </c>
      <c r="F154">
        <v>0</v>
      </c>
      <c r="G154">
        <v>0</v>
      </c>
      <c r="H154">
        <v>4</v>
      </c>
      <c r="I154">
        <v>28</v>
      </c>
      <c r="J154">
        <v>3</v>
      </c>
      <c r="K154">
        <v>7</v>
      </c>
    </row>
    <row r="155" spans="1:11" x14ac:dyDescent="0.3">
      <c r="A155" t="s">
        <v>278</v>
      </c>
      <c r="B155" t="s">
        <v>45</v>
      </c>
      <c r="C155">
        <v>0</v>
      </c>
      <c r="D155">
        <v>0</v>
      </c>
      <c r="E155">
        <v>0</v>
      </c>
      <c r="F155">
        <v>0</v>
      </c>
      <c r="G155">
        <v>0</v>
      </c>
      <c r="H155">
        <v>4</v>
      </c>
      <c r="I155">
        <v>30</v>
      </c>
      <c r="J155">
        <v>2</v>
      </c>
      <c r="K155">
        <v>7.5</v>
      </c>
    </row>
    <row r="156" spans="1:11" x14ac:dyDescent="0.3">
      <c r="A156" t="s">
        <v>279</v>
      </c>
      <c r="B156" t="s">
        <v>19</v>
      </c>
      <c r="C156">
        <v>50</v>
      </c>
      <c r="D156">
        <v>35</v>
      </c>
      <c r="E156">
        <v>5</v>
      </c>
      <c r="F156">
        <v>2</v>
      </c>
      <c r="G156">
        <v>142.86000000000001</v>
      </c>
      <c r="H156">
        <v>0</v>
      </c>
      <c r="I156">
        <v>0</v>
      </c>
      <c r="J156">
        <v>0</v>
      </c>
      <c r="K156">
        <v>0</v>
      </c>
    </row>
    <row r="157" spans="1:11" x14ac:dyDescent="0.3">
      <c r="A157" t="s">
        <v>280</v>
      </c>
      <c r="B157" t="s">
        <v>103</v>
      </c>
      <c r="C157">
        <v>60</v>
      </c>
      <c r="D157">
        <v>40</v>
      </c>
      <c r="E157">
        <v>6</v>
      </c>
      <c r="F157">
        <v>2</v>
      </c>
      <c r="G157">
        <v>150</v>
      </c>
      <c r="H157">
        <v>0</v>
      </c>
      <c r="I157">
        <v>0</v>
      </c>
      <c r="J157">
        <v>0</v>
      </c>
      <c r="K157">
        <v>0</v>
      </c>
    </row>
    <row r="158" spans="1:11" x14ac:dyDescent="0.3">
      <c r="A158" t="s">
        <v>281</v>
      </c>
      <c r="B158" t="s">
        <v>52</v>
      </c>
      <c r="C158">
        <v>50</v>
      </c>
      <c r="D158">
        <v>30</v>
      </c>
      <c r="E158">
        <v>5</v>
      </c>
      <c r="F158">
        <v>2</v>
      </c>
      <c r="G158">
        <v>166.67</v>
      </c>
      <c r="H158">
        <v>0</v>
      </c>
      <c r="I158">
        <v>0</v>
      </c>
      <c r="J158">
        <v>0</v>
      </c>
      <c r="K158">
        <v>0</v>
      </c>
    </row>
    <row r="159" spans="1:11" x14ac:dyDescent="0.3">
      <c r="A159" t="s">
        <v>282</v>
      </c>
      <c r="B159" t="s">
        <v>30</v>
      </c>
      <c r="C159">
        <v>70</v>
      </c>
      <c r="D159">
        <v>40</v>
      </c>
      <c r="E159">
        <v>7</v>
      </c>
      <c r="F159">
        <v>3</v>
      </c>
      <c r="G159">
        <v>175</v>
      </c>
      <c r="H159">
        <v>0</v>
      </c>
      <c r="I159">
        <v>0</v>
      </c>
      <c r="J159">
        <v>0</v>
      </c>
      <c r="K159">
        <v>0</v>
      </c>
    </row>
    <row r="160" spans="1:11" x14ac:dyDescent="0.3">
      <c r="A160" t="s">
        <v>283</v>
      </c>
      <c r="B160" t="s">
        <v>74</v>
      </c>
      <c r="C160">
        <v>55</v>
      </c>
      <c r="D160">
        <v>35</v>
      </c>
      <c r="E160">
        <v>5</v>
      </c>
      <c r="F160">
        <v>2</v>
      </c>
      <c r="G160">
        <v>157.13999999999999</v>
      </c>
      <c r="H160">
        <v>0</v>
      </c>
      <c r="I160">
        <v>0</v>
      </c>
      <c r="J160">
        <v>0</v>
      </c>
      <c r="K160">
        <v>0</v>
      </c>
    </row>
    <row r="161" spans="1:11" x14ac:dyDescent="0.3">
      <c r="A161" t="s">
        <v>284</v>
      </c>
      <c r="B161" t="s">
        <v>55</v>
      </c>
      <c r="C161">
        <v>60</v>
      </c>
      <c r="D161">
        <v>30</v>
      </c>
      <c r="E161">
        <v>6</v>
      </c>
      <c r="F161">
        <v>4</v>
      </c>
      <c r="G161">
        <v>200</v>
      </c>
      <c r="H161">
        <v>4</v>
      </c>
      <c r="I161">
        <v>40</v>
      </c>
      <c r="J161">
        <v>1</v>
      </c>
      <c r="K161">
        <v>10</v>
      </c>
    </row>
    <row r="162" spans="1:11" x14ac:dyDescent="0.3">
      <c r="A162" t="s">
        <v>285</v>
      </c>
      <c r="B162" t="s">
        <v>88</v>
      </c>
      <c r="C162">
        <v>0</v>
      </c>
      <c r="D162">
        <v>0</v>
      </c>
      <c r="E162">
        <v>0</v>
      </c>
      <c r="F162">
        <v>0</v>
      </c>
      <c r="G162">
        <v>0</v>
      </c>
      <c r="H162">
        <v>4</v>
      </c>
      <c r="I162">
        <v>32</v>
      </c>
      <c r="J162">
        <v>2</v>
      </c>
      <c r="K162">
        <v>8</v>
      </c>
    </row>
    <row r="163" spans="1:11" x14ac:dyDescent="0.3">
      <c r="A163" t="s">
        <v>286</v>
      </c>
      <c r="B163" t="s">
        <v>74</v>
      </c>
      <c r="C163">
        <v>85</v>
      </c>
      <c r="D163">
        <v>45</v>
      </c>
      <c r="E163">
        <v>8</v>
      </c>
      <c r="F163">
        <v>4</v>
      </c>
      <c r="G163">
        <v>188.89</v>
      </c>
      <c r="H163">
        <v>0</v>
      </c>
      <c r="I163">
        <v>0</v>
      </c>
      <c r="J163">
        <v>0</v>
      </c>
      <c r="K163">
        <v>0</v>
      </c>
    </row>
    <row r="164" spans="1:11" x14ac:dyDescent="0.3">
      <c r="A164" t="s">
        <v>287</v>
      </c>
      <c r="B164" t="s">
        <v>15</v>
      </c>
      <c r="C164">
        <v>0</v>
      </c>
      <c r="D164">
        <v>0</v>
      </c>
      <c r="E164">
        <v>0</v>
      </c>
      <c r="F164">
        <v>0</v>
      </c>
      <c r="G164">
        <v>0</v>
      </c>
      <c r="H164">
        <v>4</v>
      </c>
      <c r="I164">
        <v>25</v>
      </c>
      <c r="J164">
        <v>3</v>
      </c>
      <c r="K164">
        <v>6.25</v>
      </c>
    </row>
    <row r="165" spans="1:11" x14ac:dyDescent="0.3">
      <c r="A165" t="s">
        <v>288</v>
      </c>
      <c r="B165" t="s">
        <v>83</v>
      </c>
      <c r="C165">
        <v>75</v>
      </c>
      <c r="D165">
        <v>40</v>
      </c>
      <c r="E165">
        <v>7</v>
      </c>
      <c r="F165">
        <v>3</v>
      </c>
      <c r="G165">
        <v>187.5</v>
      </c>
      <c r="H165">
        <v>0</v>
      </c>
      <c r="I165">
        <v>0</v>
      </c>
      <c r="J165">
        <v>0</v>
      </c>
      <c r="K165">
        <v>0</v>
      </c>
    </row>
    <row r="166" spans="1:11" x14ac:dyDescent="0.3">
      <c r="A166" t="s">
        <v>289</v>
      </c>
      <c r="B166" t="s">
        <v>42</v>
      </c>
      <c r="C166">
        <v>50</v>
      </c>
      <c r="D166">
        <v>30</v>
      </c>
      <c r="E166">
        <v>5</v>
      </c>
      <c r="F166">
        <v>2</v>
      </c>
      <c r="G166">
        <v>166.67</v>
      </c>
      <c r="H166">
        <v>0</v>
      </c>
      <c r="I166">
        <v>0</v>
      </c>
      <c r="J166">
        <v>0</v>
      </c>
      <c r="K166">
        <v>0</v>
      </c>
    </row>
    <row r="167" spans="1:11" x14ac:dyDescent="0.3">
      <c r="A167" t="s">
        <v>290</v>
      </c>
      <c r="B167" t="s">
        <v>58</v>
      </c>
      <c r="C167">
        <v>30</v>
      </c>
      <c r="D167">
        <v>15</v>
      </c>
      <c r="E167">
        <v>3</v>
      </c>
      <c r="F167">
        <v>2</v>
      </c>
      <c r="G167">
        <v>200</v>
      </c>
      <c r="H167">
        <v>4</v>
      </c>
      <c r="I167">
        <v>28</v>
      </c>
      <c r="J167">
        <v>2</v>
      </c>
      <c r="K167">
        <v>7</v>
      </c>
    </row>
    <row r="168" spans="1:11" x14ac:dyDescent="0.3">
      <c r="A168" t="s">
        <v>291</v>
      </c>
      <c r="B168" t="s">
        <v>71</v>
      </c>
      <c r="C168">
        <v>0</v>
      </c>
      <c r="D168">
        <v>0</v>
      </c>
      <c r="E168">
        <v>0</v>
      </c>
      <c r="F168">
        <v>0</v>
      </c>
      <c r="G168">
        <v>0</v>
      </c>
      <c r="H168">
        <v>4</v>
      </c>
      <c r="I168">
        <v>22</v>
      </c>
      <c r="J168">
        <v>2</v>
      </c>
      <c r="K168">
        <v>5.5</v>
      </c>
    </row>
    <row r="169" spans="1:11" x14ac:dyDescent="0.3">
      <c r="A169" t="s">
        <v>292</v>
      </c>
      <c r="B169" t="s">
        <v>33</v>
      </c>
      <c r="C169">
        <v>0</v>
      </c>
      <c r="D169">
        <v>0</v>
      </c>
      <c r="E169">
        <v>0</v>
      </c>
      <c r="F169">
        <v>0</v>
      </c>
      <c r="G169">
        <v>0</v>
      </c>
      <c r="H169">
        <v>4</v>
      </c>
      <c r="I169">
        <v>30</v>
      </c>
      <c r="J169">
        <v>2</v>
      </c>
      <c r="K169">
        <v>7.5</v>
      </c>
    </row>
    <row r="170" spans="1:11" x14ac:dyDescent="0.3">
      <c r="A170" t="s">
        <v>293</v>
      </c>
      <c r="B170" t="s">
        <v>85</v>
      </c>
      <c r="C170">
        <v>45</v>
      </c>
      <c r="D170">
        <v>30</v>
      </c>
      <c r="E170">
        <v>4</v>
      </c>
      <c r="F170">
        <v>2</v>
      </c>
      <c r="G170">
        <v>150</v>
      </c>
      <c r="H170">
        <v>0</v>
      </c>
      <c r="I170">
        <v>0</v>
      </c>
      <c r="J170">
        <v>0</v>
      </c>
      <c r="K170">
        <v>0</v>
      </c>
    </row>
    <row r="171" spans="1:11" x14ac:dyDescent="0.3">
      <c r="A171" t="s">
        <v>294</v>
      </c>
      <c r="B171" t="s">
        <v>101</v>
      </c>
      <c r="C171">
        <v>75</v>
      </c>
      <c r="D171">
        <v>40</v>
      </c>
      <c r="E171">
        <v>7</v>
      </c>
      <c r="F171">
        <v>4</v>
      </c>
      <c r="G171">
        <v>187.5</v>
      </c>
      <c r="H171">
        <v>0</v>
      </c>
      <c r="I171">
        <v>0</v>
      </c>
      <c r="J171">
        <v>0</v>
      </c>
      <c r="K171">
        <v>0</v>
      </c>
    </row>
    <row r="172" spans="1:11" x14ac:dyDescent="0.3">
      <c r="A172" t="s">
        <v>295</v>
      </c>
      <c r="B172" t="s">
        <v>27</v>
      </c>
      <c r="C172">
        <v>50</v>
      </c>
      <c r="D172">
        <v>30</v>
      </c>
      <c r="E172">
        <v>5</v>
      </c>
      <c r="F172">
        <v>2</v>
      </c>
      <c r="G172">
        <v>166.67</v>
      </c>
      <c r="H172">
        <v>4</v>
      </c>
      <c r="I172">
        <v>35</v>
      </c>
      <c r="J172">
        <v>1</v>
      </c>
      <c r="K172">
        <v>8.75</v>
      </c>
    </row>
    <row r="173" spans="1:11" x14ac:dyDescent="0.3">
      <c r="A173" t="s">
        <v>296</v>
      </c>
      <c r="B173" t="s">
        <v>80</v>
      </c>
      <c r="C173">
        <v>0</v>
      </c>
      <c r="D173">
        <v>0</v>
      </c>
      <c r="E173">
        <v>0</v>
      </c>
      <c r="F173">
        <v>0</v>
      </c>
      <c r="G173">
        <v>0</v>
      </c>
      <c r="H173">
        <v>4</v>
      </c>
      <c r="I173">
        <v>22</v>
      </c>
      <c r="J173">
        <v>3</v>
      </c>
      <c r="K173">
        <v>5.5</v>
      </c>
    </row>
    <row r="174" spans="1:11" x14ac:dyDescent="0.3">
      <c r="A174" t="s">
        <v>297</v>
      </c>
      <c r="B174" t="s">
        <v>103</v>
      </c>
      <c r="C174">
        <v>40</v>
      </c>
      <c r="D174">
        <v>25</v>
      </c>
      <c r="E174">
        <v>4</v>
      </c>
      <c r="F174">
        <v>1</v>
      </c>
      <c r="G174">
        <v>160</v>
      </c>
      <c r="H174">
        <v>0</v>
      </c>
      <c r="I174">
        <v>0</v>
      </c>
      <c r="J174">
        <v>0</v>
      </c>
      <c r="K174">
        <v>0</v>
      </c>
    </row>
    <row r="175" spans="1:11" x14ac:dyDescent="0.3">
      <c r="A175" t="s">
        <v>298</v>
      </c>
      <c r="B175" t="s">
        <v>42</v>
      </c>
      <c r="C175">
        <v>70</v>
      </c>
      <c r="D175">
        <v>45</v>
      </c>
      <c r="E175">
        <v>7</v>
      </c>
      <c r="F175">
        <v>2</v>
      </c>
      <c r="G175">
        <v>155.56</v>
      </c>
      <c r="H175">
        <v>0</v>
      </c>
      <c r="I175">
        <v>0</v>
      </c>
      <c r="J175">
        <v>0</v>
      </c>
      <c r="K175">
        <v>0</v>
      </c>
    </row>
    <row r="176" spans="1:11" x14ac:dyDescent="0.3">
      <c r="A176" t="s">
        <v>299</v>
      </c>
      <c r="B176" t="s">
        <v>58</v>
      </c>
      <c r="C176">
        <v>20</v>
      </c>
      <c r="D176">
        <v>10</v>
      </c>
      <c r="E176">
        <v>2</v>
      </c>
      <c r="F176">
        <v>1</v>
      </c>
      <c r="G176">
        <v>200</v>
      </c>
      <c r="H176">
        <v>4</v>
      </c>
      <c r="I176">
        <v>25</v>
      </c>
      <c r="J176">
        <v>3</v>
      </c>
      <c r="K176">
        <v>6.25</v>
      </c>
    </row>
    <row r="177" spans="1:11" x14ac:dyDescent="0.3">
      <c r="A177" t="s">
        <v>300</v>
      </c>
      <c r="B177" t="s">
        <v>69</v>
      </c>
      <c r="C177">
        <v>60</v>
      </c>
      <c r="D177">
        <v>35</v>
      </c>
      <c r="E177">
        <v>6</v>
      </c>
      <c r="F177">
        <v>3</v>
      </c>
      <c r="G177">
        <v>171.43</v>
      </c>
      <c r="H177">
        <v>0</v>
      </c>
      <c r="I177">
        <v>0</v>
      </c>
      <c r="J177">
        <v>0</v>
      </c>
      <c r="K177">
        <v>0</v>
      </c>
    </row>
    <row r="178" spans="1:11" x14ac:dyDescent="0.3">
      <c r="A178" t="s">
        <v>301</v>
      </c>
      <c r="B178" t="s">
        <v>66</v>
      </c>
      <c r="C178">
        <v>0</v>
      </c>
      <c r="D178">
        <v>0</v>
      </c>
      <c r="E178">
        <v>0</v>
      </c>
      <c r="F178">
        <v>0</v>
      </c>
      <c r="G178">
        <v>0</v>
      </c>
      <c r="H178">
        <v>4</v>
      </c>
      <c r="I178">
        <v>18</v>
      </c>
      <c r="J178">
        <v>3</v>
      </c>
      <c r="K178">
        <v>4.5</v>
      </c>
    </row>
    <row r="179" spans="1:11" x14ac:dyDescent="0.3">
      <c r="A179" t="s">
        <v>302</v>
      </c>
      <c r="B179" t="s">
        <v>30</v>
      </c>
      <c r="C179">
        <v>80</v>
      </c>
      <c r="D179">
        <v>45</v>
      </c>
      <c r="E179">
        <v>8</v>
      </c>
      <c r="F179">
        <v>4</v>
      </c>
      <c r="G179">
        <v>177.78</v>
      </c>
      <c r="H179">
        <v>0</v>
      </c>
      <c r="I179">
        <v>0</v>
      </c>
      <c r="J179">
        <v>0</v>
      </c>
      <c r="K179">
        <v>0</v>
      </c>
    </row>
    <row r="180" spans="1:11" x14ac:dyDescent="0.3">
      <c r="A180" t="s">
        <v>303</v>
      </c>
      <c r="B180" t="s">
        <v>78</v>
      </c>
      <c r="C180">
        <v>0</v>
      </c>
      <c r="D180">
        <v>0</v>
      </c>
      <c r="E180">
        <v>0</v>
      </c>
      <c r="F180">
        <v>0</v>
      </c>
      <c r="G180">
        <v>0</v>
      </c>
      <c r="H180">
        <v>4</v>
      </c>
      <c r="I180">
        <v>30</v>
      </c>
      <c r="J180">
        <v>2</v>
      </c>
      <c r="K180">
        <v>7.5</v>
      </c>
    </row>
    <row r="181" spans="1:11" x14ac:dyDescent="0.3">
      <c r="A181" t="s">
        <v>304</v>
      </c>
      <c r="B181" t="s">
        <v>47</v>
      </c>
      <c r="C181">
        <v>50</v>
      </c>
      <c r="D181">
        <v>25</v>
      </c>
      <c r="E181">
        <v>5</v>
      </c>
      <c r="F181">
        <v>3</v>
      </c>
      <c r="G181">
        <v>200</v>
      </c>
      <c r="H181">
        <v>0</v>
      </c>
      <c r="I181">
        <v>0</v>
      </c>
      <c r="J181">
        <v>0</v>
      </c>
      <c r="K181">
        <v>0</v>
      </c>
    </row>
    <row r="182" spans="1:11" x14ac:dyDescent="0.3">
      <c r="A182" t="s">
        <v>305</v>
      </c>
      <c r="B182" t="s">
        <v>60</v>
      </c>
      <c r="C182">
        <v>0</v>
      </c>
      <c r="D182">
        <v>0</v>
      </c>
      <c r="E182">
        <v>0</v>
      </c>
      <c r="F182">
        <v>0</v>
      </c>
      <c r="G182">
        <v>0</v>
      </c>
      <c r="H182">
        <v>4</v>
      </c>
      <c r="I182">
        <v>28</v>
      </c>
      <c r="J182">
        <v>2</v>
      </c>
      <c r="K182">
        <v>7</v>
      </c>
    </row>
    <row r="183" spans="1:11" x14ac:dyDescent="0.3">
      <c r="A183" t="s">
        <v>306</v>
      </c>
      <c r="B183" t="s">
        <v>83</v>
      </c>
      <c r="C183">
        <v>70</v>
      </c>
      <c r="D183">
        <v>40</v>
      </c>
      <c r="E183">
        <v>7</v>
      </c>
      <c r="F183">
        <v>3</v>
      </c>
      <c r="G183">
        <v>175</v>
      </c>
      <c r="H183">
        <v>0</v>
      </c>
      <c r="I183">
        <v>0</v>
      </c>
      <c r="J183">
        <v>0</v>
      </c>
      <c r="K183">
        <v>0</v>
      </c>
    </row>
    <row r="184" spans="1:11" x14ac:dyDescent="0.3">
      <c r="A184" t="s">
        <v>307</v>
      </c>
      <c r="B184" t="s">
        <v>93</v>
      </c>
      <c r="C184">
        <v>0</v>
      </c>
      <c r="D184">
        <v>0</v>
      </c>
      <c r="E184">
        <v>0</v>
      </c>
      <c r="F184">
        <v>0</v>
      </c>
      <c r="G184">
        <v>0</v>
      </c>
      <c r="H184">
        <v>4</v>
      </c>
      <c r="I184">
        <v>35</v>
      </c>
      <c r="J184">
        <v>1</v>
      </c>
      <c r="K184">
        <v>8.75</v>
      </c>
    </row>
    <row r="185" spans="1:11" x14ac:dyDescent="0.3">
      <c r="A185" t="s">
        <v>308</v>
      </c>
      <c r="B185" t="s">
        <v>96</v>
      </c>
      <c r="C185">
        <v>85</v>
      </c>
      <c r="D185">
        <v>50</v>
      </c>
      <c r="E185">
        <v>8</v>
      </c>
      <c r="F185">
        <v>4</v>
      </c>
      <c r="G185">
        <v>170</v>
      </c>
      <c r="H185">
        <v>0</v>
      </c>
      <c r="I185">
        <v>0</v>
      </c>
      <c r="J185">
        <v>0</v>
      </c>
      <c r="K185">
        <v>0</v>
      </c>
    </row>
    <row r="186" spans="1:11" x14ac:dyDescent="0.3">
      <c r="A186" t="s">
        <v>309</v>
      </c>
      <c r="B186" t="s">
        <v>15</v>
      </c>
      <c r="C186">
        <v>0</v>
      </c>
      <c r="D186">
        <v>0</v>
      </c>
      <c r="E186">
        <v>0</v>
      </c>
      <c r="F186">
        <v>0</v>
      </c>
      <c r="G186">
        <v>0</v>
      </c>
      <c r="H186">
        <v>4</v>
      </c>
      <c r="I186">
        <v>22</v>
      </c>
      <c r="J186">
        <v>3</v>
      </c>
      <c r="K186">
        <v>5.5</v>
      </c>
    </row>
    <row r="187" spans="1:11" x14ac:dyDescent="0.3">
      <c r="A187" t="s">
        <v>310</v>
      </c>
      <c r="B187" t="s">
        <v>45</v>
      </c>
      <c r="C187">
        <v>0</v>
      </c>
      <c r="D187">
        <v>0</v>
      </c>
      <c r="E187">
        <v>0</v>
      </c>
      <c r="F187">
        <v>0</v>
      </c>
      <c r="G187">
        <v>0</v>
      </c>
      <c r="H187">
        <v>4</v>
      </c>
      <c r="I187">
        <v>30</v>
      </c>
      <c r="J187">
        <v>2</v>
      </c>
      <c r="K187">
        <v>7.5</v>
      </c>
    </row>
    <row r="188" spans="1:11" x14ac:dyDescent="0.3">
      <c r="A188" t="s">
        <v>311</v>
      </c>
      <c r="B188" t="s">
        <v>19</v>
      </c>
      <c r="C188">
        <v>60</v>
      </c>
      <c r="D188">
        <v>35</v>
      </c>
      <c r="E188">
        <v>6</v>
      </c>
      <c r="F188">
        <v>2</v>
      </c>
      <c r="G188">
        <v>171.43</v>
      </c>
      <c r="H188">
        <v>0</v>
      </c>
      <c r="I188">
        <v>0</v>
      </c>
      <c r="J188">
        <v>0</v>
      </c>
      <c r="K188">
        <v>0</v>
      </c>
    </row>
    <row r="189" spans="1:11" x14ac:dyDescent="0.3">
      <c r="A189" t="s">
        <v>312</v>
      </c>
      <c r="B189" t="s">
        <v>88</v>
      </c>
      <c r="C189">
        <v>0</v>
      </c>
      <c r="D189">
        <v>0</v>
      </c>
      <c r="E189">
        <v>0</v>
      </c>
      <c r="F189">
        <v>0</v>
      </c>
      <c r="G189">
        <v>0</v>
      </c>
      <c r="H189">
        <v>4</v>
      </c>
      <c r="I189">
        <v>30</v>
      </c>
      <c r="J189">
        <v>3</v>
      </c>
      <c r="K189">
        <v>7.5</v>
      </c>
    </row>
    <row r="190" spans="1:11" x14ac:dyDescent="0.3">
      <c r="A190" t="s">
        <v>313</v>
      </c>
      <c r="B190" t="s">
        <v>8</v>
      </c>
      <c r="C190">
        <v>75</v>
      </c>
      <c r="D190">
        <v>45</v>
      </c>
      <c r="E190">
        <v>7</v>
      </c>
      <c r="F190">
        <v>3</v>
      </c>
      <c r="G190">
        <v>166.67</v>
      </c>
      <c r="H190">
        <v>0</v>
      </c>
      <c r="I190">
        <v>0</v>
      </c>
      <c r="J190">
        <v>0</v>
      </c>
      <c r="K190">
        <v>0</v>
      </c>
    </row>
    <row r="191" spans="1:11" x14ac:dyDescent="0.3">
      <c r="A191" t="s">
        <v>314</v>
      </c>
      <c r="B191" t="s">
        <v>33</v>
      </c>
      <c r="C191">
        <v>0</v>
      </c>
      <c r="D191">
        <v>0</v>
      </c>
      <c r="E191">
        <v>0</v>
      </c>
      <c r="F191">
        <v>0</v>
      </c>
      <c r="G191">
        <v>0</v>
      </c>
      <c r="H191">
        <v>4</v>
      </c>
      <c r="I191">
        <v>28</v>
      </c>
      <c r="J191">
        <v>2</v>
      </c>
      <c r="K191">
        <v>7</v>
      </c>
    </row>
    <row r="192" spans="1:11" x14ac:dyDescent="0.3">
      <c r="A192" t="s">
        <v>315</v>
      </c>
      <c r="B192" t="s">
        <v>52</v>
      </c>
      <c r="C192">
        <v>65</v>
      </c>
      <c r="D192">
        <v>40</v>
      </c>
      <c r="E192">
        <v>6</v>
      </c>
      <c r="F192">
        <v>3</v>
      </c>
      <c r="G192">
        <v>162.5</v>
      </c>
      <c r="H192">
        <v>0</v>
      </c>
      <c r="I192">
        <v>0</v>
      </c>
      <c r="J192">
        <v>0</v>
      </c>
      <c r="K192">
        <v>0</v>
      </c>
    </row>
    <row r="193" spans="1:11" x14ac:dyDescent="0.3">
      <c r="A193" t="s">
        <v>316</v>
      </c>
      <c r="B193" t="s">
        <v>74</v>
      </c>
      <c r="C193">
        <v>95</v>
      </c>
      <c r="D193">
        <v>50</v>
      </c>
      <c r="E193">
        <v>10</v>
      </c>
      <c r="F193">
        <v>4</v>
      </c>
      <c r="G193">
        <v>190</v>
      </c>
      <c r="H193">
        <v>0</v>
      </c>
      <c r="I193">
        <v>0</v>
      </c>
      <c r="J193">
        <v>0</v>
      </c>
      <c r="K193">
        <v>0</v>
      </c>
    </row>
    <row r="194" spans="1:11" x14ac:dyDescent="0.3">
      <c r="A194" t="s">
        <v>317</v>
      </c>
      <c r="B194" t="s">
        <v>80</v>
      </c>
      <c r="C194">
        <v>0</v>
      </c>
      <c r="D194">
        <v>0</v>
      </c>
      <c r="E194">
        <v>0</v>
      </c>
      <c r="F194">
        <v>0</v>
      </c>
      <c r="G194">
        <v>0</v>
      </c>
      <c r="H194">
        <v>4</v>
      </c>
      <c r="I194">
        <v>25</v>
      </c>
      <c r="J194">
        <v>2</v>
      </c>
      <c r="K194">
        <v>6.25</v>
      </c>
    </row>
    <row r="195" spans="1:11" x14ac:dyDescent="0.3">
      <c r="A195" t="s">
        <v>318</v>
      </c>
      <c r="B195" t="s">
        <v>83</v>
      </c>
      <c r="C195">
        <v>80</v>
      </c>
      <c r="D195">
        <v>45</v>
      </c>
      <c r="E195">
        <v>8</v>
      </c>
      <c r="F195">
        <v>3</v>
      </c>
      <c r="G195">
        <v>177.78</v>
      </c>
      <c r="H195">
        <v>0</v>
      </c>
      <c r="I195">
        <v>0</v>
      </c>
      <c r="J195">
        <v>0</v>
      </c>
      <c r="K195">
        <v>0</v>
      </c>
    </row>
    <row r="196" spans="1:11" x14ac:dyDescent="0.3">
      <c r="A196" t="s">
        <v>319</v>
      </c>
      <c r="B196" t="s">
        <v>42</v>
      </c>
      <c r="C196">
        <v>45</v>
      </c>
      <c r="D196">
        <v>25</v>
      </c>
      <c r="E196">
        <v>4</v>
      </c>
      <c r="F196">
        <v>2</v>
      </c>
      <c r="G196">
        <v>180</v>
      </c>
      <c r="H196">
        <v>0</v>
      </c>
      <c r="I196">
        <v>0</v>
      </c>
      <c r="J196">
        <v>0</v>
      </c>
      <c r="K196">
        <v>0</v>
      </c>
    </row>
    <row r="197" spans="1:11" x14ac:dyDescent="0.3">
      <c r="A197" t="s">
        <v>320</v>
      </c>
      <c r="B197" t="s">
        <v>58</v>
      </c>
      <c r="C197">
        <v>35</v>
      </c>
      <c r="D197">
        <v>20</v>
      </c>
      <c r="E197">
        <v>4</v>
      </c>
      <c r="F197">
        <v>2</v>
      </c>
      <c r="G197">
        <v>175</v>
      </c>
      <c r="H197">
        <v>4</v>
      </c>
      <c r="I197">
        <v>30</v>
      </c>
      <c r="J197">
        <v>2</v>
      </c>
      <c r="K197">
        <v>7.5</v>
      </c>
    </row>
    <row r="198" spans="1:11" x14ac:dyDescent="0.3">
      <c r="A198" t="s">
        <v>321</v>
      </c>
      <c r="B198" t="s">
        <v>60</v>
      </c>
      <c r="C198">
        <v>0</v>
      </c>
      <c r="D198">
        <v>0</v>
      </c>
      <c r="E198">
        <v>0</v>
      </c>
      <c r="F198">
        <v>0</v>
      </c>
      <c r="G198">
        <v>0</v>
      </c>
      <c r="H198">
        <v>4</v>
      </c>
      <c r="I198">
        <v>25</v>
      </c>
      <c r="J198">
        <v>2</v>
      </c>
      <c r="K198">
        <v>6.25</v>
      </c>
    </row>
    <row r="199" spans="1:11" x14ac:dyDescent="0.3">
      <c r="A199" t="s">
        <v>322</v>
      </c>
      <c r="B199" t="s">
        <v>30</v>
      </c>
      <c r="C199">
        <v>90</v>
      </c>
      <c r="D199">
        <v>50</v>
      </c>
      <c r="E199">
        <v>9</v>
      </c>
      <c r="F199">
        <v>4</v>
      </c>
      <c r="G199">
        <v>180</v>
      </c>
      <c r="H199">
        <v>0</v>
      </c>
      <c r="I199">
        <v>0</v>
      </c>
      <c r="J199">
        <v>0</v>
      </c>
      <c r="K199">
        <v>0</v>
      </c>
    </row>
    <row r="200" spans="1:11" x14ac:dyDescent="0.3">
      <c r="A200" t="s">
        <v>323</v>
      </c>
      <c r="B200" t="s">
        <v>36</v>
      </c>
      <c r="C200">
        <v>50</v>
      </c>
      <c r="D200">
        <v>30</v>
      </c>
      <c r="E200">
        <v>5</v>
      </c>
      <c r="F200">
        <v>2</v>
      </c>
      <c r="G200">
        <v>166.67</v>
      </c>
      <c r="H200">
        <v>0</v>
      </c>
      <c r="I200">
        <v>0</v>
      </c>
      <c r="J200">
        <v>0</v>
      </c>
      <c r="K200">
        <v>0</v>
      </c>
    </row>
    <row r="201" spans="1:11" x14ac:dyDescent="0.3">
      <c r="A201" t="s">
        <v>324</v>
      </c>
      <c r="B201" t="s">
        <v>101</v>
      </c>
      <c r="C201">
        <v>80</v>
      </c>
      <c r="D201">
        <v>45</v>
      </c>
      <c r="E201">
        <v>8</v>
      </c>
      <c r="F201">
        <v>3</v>
      </c>
      <c r="G201">
        <v>177.78</v>
      </c>
      <c r="H201">
        <v>0</v>
      </c>
      <c r="I201">
        <v>0</v>
      </c>
      <c r="J201">
        <v>0</v>
      </c>
      <c r="K201">
        <v>0</v>
      </c>
    </row>
    <row r="202" spans="1:11" x14ac:dyDescent="0.3">
      <c r="A202" t="s">
        <v>325</v>
      </c>
      <c r="B202" t="s">
        <v>103</v>
      </c>
      <c r="C202">
        <v>60</v>
      </c>
      <c r="D202">
        <v>35</v>
      </c>
      <c r="E202">
        <v>6</v>
      </c>
      <c r="F202">
        <v>3</v>
      </c>
      <c r="G202">
        <v>171.43</v>
      </c>
      <c r="H202">
        <v>0</v>
      </c>
      <c r="I202">
        <v>0</v>
      </c>
      <c r="J202">
        <v>0</v>
      </c>
      <c r="K202">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9FA0E-932B-4F03-9740-96A368FD138A}">
  <dimension ref="A1:N61"/>
  <sheetViews>
    <sheetView workbookViewId="0"/>
  </sheetViews>
  <sheetFormatPr defaultRowHeight="14.4" x14ac:dyDescent="0.3"/>
  <cols>
    <col min="1" max="1" width="11.44140625" bestFit="1" customWidth="1"/>
    <col min="2" max="2" width="14.44140625" bestFit="1" customWidth="1"/>
    <col min="3" max="3" width="11.44140625" bestFit="1" customWidth="1"/>
    <col min="4" max="5" width="11.6640625" bestFit="1" customWidth="1"/>
    <col min="6" max="6" width="14" bestFit="1" customWidth="1"/>
    <col min="7" max="7" width="15.88671875" bestFit="1" customWidth="1"/>
    <col min="8" max="8" width="16.44140625" bestFit="1" customWidth="1"/>
    <col min="9" max="10" width="14" bestFit="1" customWidth="1"/>
    <col min="11" max="12" width="16.5546875" bestFit="1" customWidth="1"/>
    <col min="13" max="14" width="14.6640625" bestFit="1" customWidth="1"/>
  </cols>
  <sheetData>
    <row r="1" spans="1:14" x14ac:dyDescent="0.3">
      <c r="A1" t="s">
        <v>176</v>
      </c>
      <c r="B1" t="s">
        <v>326</v>
      </c>
      <c r="C1" t="s">
        <v>159</v>
      </c>
      <c r="D1" t="s">
        <v>327</v>
      </c>
      <c r="E1" t="s">
        <v>328</v>
      </c>
      <c r="F1" t="s">
        <v>329</v>
      </c>
      <c r="G1" t="s">
        <v>330</v>
      </c>
      <c r="H1" t="s">
        <v>331</v>
      </c>
      <c r="I1" t="s">
        <v>332</v>
      </c>
      <c r="J1" t="s">
        <v>333</v>
      </c>
      <c r="K1" t="s">
        <v>334</v>
      </c>
      <c r="L1" t="s">
        <v>335</v>
      </c>
      <c r="M1" t="s">
        <v>336</v>
      </c>
      <c r="N1" t="s">
        <v>337</v>
      </c>
    </row>
    <row r="2" spans="1:14" x14ac:dyDescent="0.3">
      <c r="A2" t="s">
        <v>186</v>
      </c>
      <c r="B2" s="1">
        <v>45738</v>
      </c>
      <c r="C2" t="s">
        <v>163</v>
      </c>
      <c r="D2" t="s">
        <v>32</v>
      </c>
      <c r="E2" t="s">
        <v>44</v>
      </c>
      <c r="F2" t="s">
        <v>32</v>
      </c>
      <c r="G2" t="s">
        <v>32</v>
      </c>
      <c r="H2" t="s">
        <v>30</v>
      </c>
      <c r="I2">
        <v>192</v>
      </c>
      <c r="J2">
        <v>174</v>
      </c>
      <c r="K2">
        <v>4</v>
      </c>
      <c r="L2">
        <v>8</v>
      </c>
      <c r="M2">
        <v>20</v>
      </c>
      <c r="N2">
        <v>20</v>
      </c>
    </row>
    <row r="3" spans="1:14" x14ac:dyDescent="0.3">
      <c r="A3" t="s">
        <v>187</v>
      </c>
      <c r="B3" s="1">
        <v>45739</v>
      </c>
      <c r="C3" t="s">
        <v>169</v>
      </c>
      <c r="D3" t="s">
        <v>98</v>
      </c>
      <c r="E3" t="s">
        <v>65</v>
      </c>
      <c r="F3" t="s">
        <v>98</v>
      </c>
      <c r="G3" t="s">
        <v>98</v>
      </c>
      <c r="H3" t="s">
        <v>103</v>
      </c>
      <c r="I3">
        <v>184</v>
      </c>
      <c r="J3">
        <v>183</v>
      </c>
      <c r="K3">
        <v>7</v>
      </c>
      <c r="L3">
        <v>9</v>
      </c>
      <c r="M3">
        <v>20</v>
      </c>
      <c r="N3">
        <v>20</v>
      </c>
    </row>
    <row r="4" spans="1:14" x14ac:dyDescent="0.3">
      <c r="A4" t="s">
        <v>188</v>
      </c>
      <c r="B4" s="1">
        <v>45739</v>
      </c>
      <c r="C4" t="s">
        <v>165</v>
      </c>
      <c r="D4" t="s">
        <v>54</v>
      </c>
      <c r="E4" t="s">
        <v>87</v>
      </c>
      <c r="F4" t="s">
        <v>87</v>
      </c>
      <c r="G4" t="s">
        <v>54</v>
      </c>
      <c r="H4" t="s">
        <v>55</v>
      </c>
      <c r="I4">
        <v>208</v>
      </c>
      <c r="J4">
        <v>198</v>
      </c>
      <c r="K4">
        <v>6</v>
      </c>
      <c r="L4">
        <v>7</v>
      </c>
      <c r="M4">
        <v>20</v>
      </c>
      <c r="N4">
        <v>20</v>
      </c>
    </row>
    <row r="5" spans="1:14" x14ac:dyDescent="0.3">
      <c r="A5" t="s">
        <v>189</v>
      </c>
      <c r="B5" s="1">
        <v>45740</v>
      </c>
      <c r="C5" t="s">
        <v>167</v>
      </c>
      <c r="D5" t="s">
        <v>76</v>
      </c>
      <c r="E5" t="s">
        <v>10</v>
      </c>
      <c r="F5" t="s">
        <v>10</v>
      </c>
      <c r="G5" t="s">
        <v>76</v>
      </c>
      <c r="H5" t="s">
        <v>74</v>
      </c>
      <c r="I5">
        <v>193</v>
      </c>
      <c r="J5">
        <v>165</v>
      </c>
      <c r="K5">
        <v>5</v>
      </c>
      <c r="L5">
        <v>10</v>
      </c>
      <c r="M5">
        <v>20</v>
      </c>
      <c r="N5">
        <v>17.2</v>
      </c>
    </row>
    <row r="6" spans="1:14" x14ac:dyDescent="0.3">
      <c r="A6" t="s">
        <v>190</v>
      </c>
      <c r="B6" s="1">
        <v>45741</v>
      </c>
      <c r="C6" t="s">
        <v>164</v>
      </c>
      <c r="D6" t="s">
        <v>44</v>
      </c>
      <c r="E6" t="s">
        <v>76</v>
      </c>
      <c r="F6" t="s">
        <v>44</v>
      </c>
      <c r="G6" t="s">
        <v>76</v>
      </c>
      <c r="H6" t="s">
        <v>83</v>
      </c>
      <c r="I6">
        <v>181</v>
      </c>
      <c r="J6">
        <v>185</v>
      </c>
      <c r="K6">
        <v>5</v>
      </c>
      <c r="L6">
        <v>4</v>
      </c>
      <c r="M6">
        <v>20</v>
      </c>
      <c r="N6">
        <v>19.3</v>
      </c>
    </row>
    <row r="7" spans="1:14" x14ac:dyDescent="0.3">
      <c r="A7" t="s">
        <v>191</v>
      </c>
      <c r="B7" s="1">
        <v>45742</v>
      </c>
      <c r="C7" t="s">
        <v>166</v>
      </c>
      <c r="D7" t="s">
        <v>65</v>
      </c>
      <c r="E7" t="s">
        <v>54</v>
      </c>
      <c r="F7" t="s">
        <v>65</v>
      </c>
      <c r="G7" t="s">
        <v>54</v>
      </c>
      <c r="H7" t="s">
        <v>58</v>
      </c>
      <c r="I7">
        <v>164</v>
      </c>
      <c r="J7">
        <v>165</v>
      </c>
      <c r="K7">
        <v>8</v>
      </c>
      <c r="L7">
        <v>3</v>
      </c>
      <c r="M7">
        <v>20</v>
      </c>
      <c r="N7">
        <v>18.399999999999999</v>
      </c>
    </row>
    <row r="8" spans="1:14" x14ac:dyDescent="0.3">
      <c r="A8" t="s">
        <v>192</v>
      </c>
      <c r="B8" s="1">
        <v>45743</v>
      </c>
      <c r="C8" t="s">
        <v>163</v>
      </c>
      <c r="D8" t="s">
        <v>32</v>
      </c>
      <c r="E8" t="s">
        <v>87</v>
      </c>
      <c r="F8" t="s">
        <v>87</v>
      </c>
      <c r="G8" t="s">
        <v>32</v>
      </c>
      <c r="H8" t="s">
        <v>33</v>
      </c>
      <c r="I8">
        <v>178</v>
      </c>
      <c r="J8">
        <v>169</v>
      </c>
      <c r="K8">
        <v>6</v>
      </c>
      <c r="L8">
        <v>9</v>
      </c>
      <c r="M8">
        <v>20</v>
      </c>
      <c r="N8">
        <v>20</v>
      </c>
    </row>
    <row r="9" spans="1:14" x14ac:dyDescent="0.3">
      <c r="A9" t="s">
        <v>193</v>
      </c>
      <c r="B9" s="1">
        <v>45744</v>
      </c>
      <c r="C9" t="s">
        <v>162</v>
      </c>
      <c r="D9" t="s">
        <v>10</v>
      </c>
      <c r="E9" t="s">
        <v>98</v>
      </c>
      <c r="F9" t="s">
        <v>10</v>
      </c>
      <c r="G9" t="s">
        <v>98</v>
      </c>
      <c r="H9" t="s">
        <v>101</v>
      </c>
      <c r="I9">
        <v>154</v>
      </c>
      <c r="J9">
        <v>155</v>
      </c>
      <c r="K9">
        <v>10</v>
      </c>
      <c r="L9">
        <v>3</v>
      </c>
      <c r="M9">
        <v>19.5</v>
      </c>
      <c r="N9">
        <v>17</v>
      </c>
    </row>
    <row r="10" spans="1:14" x14ac:dyDescent="0.3">
      <c r="A10" t="s">
        <v>194</v>
      </c>
      <c r="B10" s="1">
        <v>45745</v>
      </c>
      <c r="C10" t="s">
        <v>165</v>
      </c>
      <c r="D10" t="s">
        <v>54</v>
      </c>
      <c r="E10" t="s">
        <v>44</v>
      </c>
      <c r="F10" t="s">
        <v>44</v>
      </c>
      <c r="G10" t="s">
        <v>54</v>
      </c>
      <c r="H10" t="s">
        <v>60</v>
      </c>
      <c r="I10">
        <v>171</v>
      </c>
      <c r="J10">
        <v>156</v>
      </c>
      <c r="K10">
        <v>5</v>
      </c>
      <c r="L10">
        <v>9</v>
      </c>
      <c r="M10">
        <v>20</v>
      </c>
      <c r="N10">
        <v>18.3</v>
      </c>
    </row>
    <row r="11" spans="1:14" x14ac:dyDescent="0.3">
      <c r="A11" t="s">
        <v>195</v>
      </c>
      <c r="B11" s="1">
        <v>45746</v>
      </c>
      <c r="C11" t="s">
        <v>167</v>
      </c>
      <c r="D11" t="s">
        <v>76</v>
      </c>
      <c r="E11" t="s">
        <v>65</v>
      </c>
      <c r="F11" t="s">
        <v>65</v>
      </c>
      <c r="G11" t="s">
        <v>65</v>
      </c>
      <c r="H11" t="s">
        <v>66</v>
      </c>
      <c r="I11">
        <v>149</v>
      </c>
      <c r="J11">
        <v>150</v>
      </c>
      <c r="K11">
        <v>9</v>
      </c>
      <c r="L11">
        <v>4</v>
      </c>
      <c r="M11">
        <v>20</v>
      </c>
      <c r="N11">
        <v>18.100000000000001</v>
      </c>
    </row>
    <row r="12" spans="1:14" x14ac:dyDescent="0.3">
      <c r="A12" t="s">
        <v>196</v>
      </c>
      <c r="B12" s="1">
        <v>45747</v>
      </c>
      <c r="C12" t="s">
        <v>168</v>
      </c>
      <c r="D12" t="s">
        <v>87</v>
      </c>
      <c r="E12" t="s">
        <v>10</v>
      </c>
      <c r="F12" t="s">
        <v>10</v>
      </c>
      <c r="G12" t="s">
        <v>87</v>
      </c>
      <c r="H12" t="s">
        <v>85</v>
      </c>
      <c r="I12">
        <v>177</v>
      </c>
      <c r="J12">
        <v>152</v>
      </c>
      <c r="K12">
        <v>7</v>
      </c>
      <c r="L12">
        <v>8</v>
      </c>
      <c r="M12">
        <v>20</v>
      </c>
      <c r="N12">
        <v>18.399999999999999</v>
      </c>
    </row>
    <row r="13" spans="1:14" x14ac:dyDescent="0.3">
      <c r="A13" t="s">
        <v>197</v>
      </c>
      <c r="B13" s="1">
        <v>45748</v>
      </c>
      <c r="C13" t="s">
        <v>169</v>
      </c>
      <c r="D13" t="s">
        <v>98</v>
      </c>
      <c r="E13" t="s">
        <v>32</v>
      </c>
      <c r="F13" t="s">
        <v>32</v>
      </c>
      <c r="G13" t="s">
        <v>32</v>
      </c>
      <c r="H13" t="s">
        <v>36</v>
      </c>
      <c r="I13">
        <v>161</v>
      </c>
      <c r="J13">
        <v>162</v>
      </c>
      <c r="K13">
        <v>8</v>
      </c>
      <c r="L13">
        <v>6</v>
      </c>
      <c r="M13">
        <v>20</v>
      </c>
      <c r="N13">
        <v>19.2</v>
      </c>
    </row>
    <row r="14" spans="1:14" x14ac:dyDescent="0.3">
      <c r="A14" t="s">
        <v>198</v>
      </c>
      <c r="B14" s="1">
        <v>45749</v>
      </c>
      <c r="C14" t="s">
        <v>164</v>
      </c>
      <c r="D14" t="s">
        <v>44</v>
      </c>
      <c r="E14" t="s">
        <v>65</v>
      </c>
      <c r="F14" t="s">
        <v>65</v>
      </c>
      <c r="G14" t="s">
        <v>44</v>
      </c>
      <c r="H14" t="s">
        <v>42</v>
      </c>
      <c r="I14">
        <v>198</v>
      </c>
      <c r="J14">
        <v>187</v>
      </c>
      <c r="K14">
        <v>3</v>
      </c>
      <c r="L14">
        <v>8</v>
      </c>
      <c r="M14">
        <v>20</v>
      </c>
      <c r="N14">
        <v>20</v>
      </c>
    </row>
    <row r="15" spans="1:14" x14ac:dyDescent="0.3">
      <c r="A15" t="s">
        <v>199</v>
      </c>
      <c r="B15" s="1">
        <v>45750</v>
      </c>
      <c r="C15" t="s">
        <v>162</v>
      </c>
      <c r="D15" t="s">
        <v>10</v>
      </c>
      <c r="E15" t="s">
        <v>76</v>
      </c>
      <c r="F15" t="s">
        <v>76</v>
      </c>
      <c r="G15" t="s">
        <v>10</v>
      </c>
      <c r="H15" t="s">
        <v>8</v>
      </c>
      <c r="I15">
        <v>188</v>
      </c>
      <c r="J15">
        <v>186</v>
      </c>
      <c r="K15">
        <v>6</v>
      </c>
      <c r="L15">
        <v>8</v>
      </c>
      <c r="M15">
        <v>20</v>
      </c>
      <c r="N15">
        <v>20</v>
      </c>
    </row>
    <row r="16" spans="1:14" x14ac:dyDescent="0.3">
      <c r="A16" t="s">
        <v>200</v>
      </c>
      <c r="B16" s="1">
        <v>45751</v>
      </c>
      <c r="C16" t="s">
        <v>165</v>
      </c>
      <c r="D16" t="s">
        <v>54</v>
      </c>
      <c r="E16" t="s">
        <v>98</v>
      </c>
      <c r="F16" t="s">
        <v>98</v>
      </c>
      <c r="G16" t="s">
        <v>98</v>
      </c>
      <c r="H16" t="s">
        <v>96</v>
      </c>
      <c r="I16">
        <v>169</v>
      </c>
      <c r="J16">
        <v>170</v>
      </c>
      <c r="K16">
        <v>8</v>
      </c>
      <c r="L16">
        <v>4</v>
      </c>
      <c r="M16">
        <v>20</v>
      </c>
      <c r="N16">
        <v>19.100000000000001</v>
      </c>
    </row>
    <row r="17" spans="1:14" x14ac:dyDescent="0.3">
      <c r="A17" t="s">
        <v>201</v>
      </c>
      <c r="B17" s="1">
        <v>45752</v>
      </c>
      <c r="C17" t="s">
        <v>166</v>
      </c>
      <c r="D17" t="s">
        <v>65</v>
      </c>
      <c r="E17" t="s">
        <v>87</v>
      </c>
      <c r="F17" t="s">
        <v>65</v>
      </c>
      <c r="G17" t="s">
        <v>87</v>
      </c>
      <c r="H17" t="s">
        <v>88</v>
      </c>
      <c r="I17">
        <v>155</v>
      </c>
      <c r="J17">
        <v>156</v>
      </c>
      <c r="K17">
        <v>10</v>
      </c>
      <c r="L17">
        <v>6</v>
      </c>
      <c r="M17">
        <v>20</v>
      </c>
      <c r="N17">
        <v>19.399999999999999</v>
      </c>
    </row>
    <row r="18" spans="1:14" x14ac:dyDescent="0.3">
      <c r="A18" t="s">
        <v>202</v>
      </c>
      <c r="B18" s="1">
        <v>45753</v>
      </c>
      <c r="C18" t="s">
        <v>163</v>
      </c>
      <c r="D18" t="s">
        <v>32</v>
      </c>
      <c r="E18" t="s">
        <v>10</v>
      </c>
      <c r="F18" t="s">
        <v>10</v>
      </c>
      <c r="G18" t="s">
        <v>32</v>
      </c>
      <c r="H18" t="s">
        <v>30</v>
      </c>
      <c r="I18">
        <v>180</v>
      </c>
      <c r="J18">
        <v>178</v>
      </c>
      <c r="K18">
        <v>5</v>
      </c>
      <c r="L18">
        <v>8</v>
      </c>
      <c r="M18">
        <v>20</v>
      </c>
      <c r="N18">
        <v>20</v>
      </c>
    </row>
    <row r="19" spans="1:14" x14ac:dyDescent="0.3">
      <c r="A19" t="s">
        <v>203</v>
      </c>
      <c r="B19" s="1">
        <v>45754</v>
      </c>
      <c r="C19" t="s">
        <v>164</v>
      </c>
      <c r="D19" t="s">
        <v>44</v>
      </c>
      <c r="E19" t="s">
        <v>98</v>
      </c>
      <c r="F19" t="s">
        <v>44</v>
      </c>
      <c r="G19" t="s">
        <v>44</v>
      </c>
      <c r="H19" t="s">
        <v>47</v>
      </c>
      <c r="I19">
        <v>194</v>
      </c>
      <c r="J19">
        <v>188</v>
      </c>
      <c r="K19">
        <v>6</v>
      </c>
      <c r="L19">
        <v>7</v>
      </c>
      <c r="M19">
        <v>20</v>
      </c>
      <c r="N19">
        <v>20</v>
      </c>
    </row>
    <row r="20" spans="1:14" x14ac:dyDescent="0.3">
      <c r="A20" t="s">
        <v>204</v>
      </c>
      <c r="B20" s="1">
        <v>45755</v>
      </c>
      <c r="C20" t="s">
        <v>167</v>
      </c>
      <c r="D20" t="s">
        <v>76</v>
      </c>
      <c r="E20" t="s">
        <v>54</v>
      </c>
      <c r="F20" t="s">
        <v>54</v>
      </c>
      <c r="G20" t="s">
        <v>76</v>
      </c>
      <c r="H20" t="s">
        <v>78</v>
      </c>
      <c r="I20">
        <v>172</v>
      </c>
      <c r="J20">
        <v>171</v>
      </c>
      <c r="K20">
        <v>9</v>
      </c>
      <c r="L20">
        <v>10</v>
      </c>
      <c r="M20">
        <v>20</v>
      </c>
      <c r="N20">
        <v>20</v>
      </c>
    </row>
    <row r="21" spans="1:14" x14ac:dyDescent="0.3">
      <c r="A21" t="s">
        <v>205</v>
      </c>
      <c r="B21" s="1">
        <v>45756</v>
      </c>
      <c r="C21" t="s">
        <v>168</v>
      </c>
      <c r="D21" t="s">
        <v>87</v>
      </c>
      <c r="E21" t="s">
        <v>65</v>
      </c>
      <c r="F21" t="s">
        <v>65</v>
      </c>
      <c r="G21" t="s">
        <v>65</v>
      </c>
      <c r="H21" t="s">
        <v>69</v>
      </c>
      <c r="I21">
        <v>166</v>
      </c>
      <c r="J21">
        <v>167</v>
      </c>
      <c r="K21">
        <v>7</v>
      </c>
      <c r="L21">
        <v>5</v>
      </c>
      <c r="M21">
        <v>20</v>
      </c>
      <c r="N21">
        <v>19.100000000000001</v>
      </c>
    </row>
    <row r="22" spans="1:14" x14ac:dyDescent="0.3">
      <c r="A22" t="s">
        <v>206</v>
      </c>
      <c r="B22" s="1">
        <v>45757</v>
      </c>
      <c r="C22" t="s">
        <v>162</v>
      </c>
      <c r="D22" t="s">
        <v>10</v>
      </c>
      <c r="E22" t="s">
        <v>54</v>
      </c>
      <c r="F22" t="s">
        <v>54</v>
      </c>
      <c r="G22" t="s">
        <v>10</v>
      </c>
      <c r="H22" t="s">
        <v>15</v>
      </c>
      <c r="I22">
        <v>175</v>
      </c>
      <c r="J22">
        <v>170</v>
      </c>
      <c r="K22">
        <v>7</v>
      </c>
      <c r="L22">
        <v>9</v>
      </c>
      <c r="M22">
        <v>20</v>
      </c>
      <c r="N22">
        <v>20</v>
      </c>
    </row>
    <row r="23" spans="1:14" x14ac:dyDescent="0.3">
      <c r="A23" t="s">
        <v>207</v>
      </c>
      <c r="B23" s="1">
        <v>45758</v>
      </c>
      <c r="C23" t="s">
        <v>169</v>
      </c>
      <c r="D23" t="s">
        <v>98</v>
      </c>
      <c r="E23" t="s">
        <v>76</v>
      </c>
      <c r="F23" t="s">
        <v>76</v>
      </c>
      <c r="G23" t="s">
        <v>98</v>
      </c>
      <c r="H23" t="s">
        <v>99</v>
      </c>
      <c r="I23">
        <v>159</v>
      </c>
      <c r="J23">
        <v>158</v>
      </c>
      <c r="K23">
        <v>6</v>
      </c>
      <c r="L23">
        <v>7</v>
      </c>
      <c r="M23">
        <v>20</v>
      </c>
      <c r="N23">
        <v>20</v>
      </c>
    </row>
    <row r="24" spans="1:14" x14ac:dyDescent="0.3">
      <c r="A24" t="s">
        <v>208</v>
      </c>
      <c r="B24" s="1">
        <v>45759</v>
      </c>
      <c r="C24" t="s">
        <v>163</v>
      </c>
      <c r="D24" t="s">
        <v>32</v>
      </c>
      <c r="E24" t="s">
        <v>44</v>
      </c>
      <c r="F24" t="s">
        <v>44</v>
      </c>
      <c r="G24" t="s">
        <v>44</v>
      </c>
      <c r="H24" t="s">
        <v>42</v>
      </c>
      <c r="I24">
        <v>183</v>
      </c>
      <c r="J24">
        <v>184</v>
      </c>
      <c r="K24">
        <v>8</v>
      </c>
      <c r="L24">
        <v>6</v>
      </c>
      <c r="M24">
        <v>20</v>
      </c>
      <c r="N24">
        <v>19.399999999999999</v>
      </c>
    </row>
    <row r="25" spans="1:14" x14ac:dyDescent="0.3">
      <c r="A25" t="s">
        <v>209</v>
      </c>
      <c r="B25" s="1">
        <v>45760</v>
      </c>
      <c r="C25" t="s">
        <v>166</v>
      </c>
      <c r="D25" t="s">
        <v>65</v>
      </c>
      <c r="E25" t="s">
        <v>10</v>
      </c>
      <c r="F25" t="s">
        <v>65</v>
      </c>
      <c r="G25" t="s">
        <v>10</v>
      </c>
      <c r="H25" t="s">
        <v>19</v>
      </c>
      <c r="I25">
        <v>168</v>
      </c>
      <c r="J25">
        <v>171</v>
      </c>
      <c r="K25">
        <v>5</v>
      </c>
      <c r="L25">
        <v>4</v>
      </c>
      <c r="M25">
        <v>20</v>
      </c>
      <c r="N25">
        <v>19.100000000000001</v>
      </c>
    </row>
    <row r="26" spans="1:14" x14ac:dyDescent="0.3">
      <c r="A26" t="s">
        <v>210</v>
      </c>
      <c r="B26" s="1">
        <v>45761</v>
      </c>
      <c r="C26" t="s">
        <v>168</v>
      </c>
      <c r="D26" t="s">
        <v>87</v>
      </c>
      <c r="E26" t="s">
        <v>98</v>
      </c>
      <c r="F26" t="s">
        <v>87</v>
      </c>
      <c r="G26" t="s">
        <v>98</v>
      </c>
      <c r="H26" t="s">
        <v>103</v>
      </c>
      <c r="I26">
        <v>186</v>
      </c>
      <c r="J26">
        <v>187</v>
      </c>
      <c r="K26">
        <v>6</v>
      </c>
      <c r="L26">
        <v>5</v>
      </c>
      <c r="M26">
        <v>20</v>
      </c>
      <c r="N26">
        <v>19.2</v>
      </c>
    </row>
    <row r="27" spans="1:14" x14ac:dyDescent="0.3">
      <c r="A27" t="s">
        <v>211</v>
      </c>
      <c r="B27" s="1">
        <v>45762</v>
      </c>
      <c r="C27" t="s">
        <v>165</v>
      </c>
      <c r="D27" t="s">
        <v>54</v>
      </c>
      <c r="E27" t="s">
        <v>32</v>
      </c>
      <c r="F27" t="s">
        <v>32</v>
      </c>
      <c r="G27" t="s">
        <v>32</v>
      </c>
      <c r="H27" t="s">
        <v>39</v>
      </c>
      <c r="I27">
        <v>160</v>
      </c>
      <c r="J27">
        <v>161</v>
      </c>
      <c r="K27">
        <v>9</v>
      </c>
      <c r="L27">
        <v>7</v>
      </c>
      <c r="M27">
        <v>20</v>
      </c>
      <c r="N27">
        <v>19.5</v>
      </c>
    </row>
    <row r="28" spans="1:14" x14ac:dyDescent="0.3">
      <c r="A28" t="s">
        <v>212</v>
      </c>
      <c r="B28" s="1">
        <v>45763</v>
      </c>
      <c r="C28" t="s">
        <v>167</v>
      </c>
      <c r="D28" t="s">
        <v>76</v>
      </c>
      <c r="E28" t="s">
        <v>44</v>
      </c>
      <c r="F28" t="s">
        <v>44</v>
      </c>
      <c r="G28" t="s">
        <v>76</v>
      </c>
      <c r="H28" t="s">
        <v>74</v>
      </c>
      <c r="I28">
        <v>190</v>
      </c>
      <c r="J28">
        <v>185</v>
      </c>
      <c r="K28">
        <v>5</v>
      </c>
      <c r="L28">
        <v>8</v>
      </c>
      <c r="M28">
        <v>20</v>
      </c>
      <c r="N28">
        <v>20</v>
      </c>
    </row>
    <row r="29" spans="1:14" x14ac:dyDescent="0.3">
      <c r="A29" t="s">
        <v>213</v>
      </c>
      <c r="B29" s="1">
        <v>45764</v>
      </c>
      <c r="C29" t="s">
        <v>162</v>
      </c>
      <c r="D29" t="s">
        <v>10</v>
      </c>
      <c r="E29" t="s">
        <v>65</v>
      </c>
      <c r="F29" t="s">
        <v>10</v>
      </c>
      <c r="G29" t="s">
        <v>10</v>
      </c>
      <c r="H29" t="s">
        <v>24</v>
      </c>
      <c r="I29">
        <v>189</v>
      </c>
      <c r="J29">
        <v>173</v>
      </c>
      <c r="K29">
        <v>3</v>
      </c>
      <c r="L29">
        <v>9</v>
      </c>
      <c r="M29">
        <v>20</v>
      </c>
      <c r="N29">
        <v>20</v>
      </c>
    </row>
    <row r="30" spans="1:14" x14ac:dyDescent="0.3">
      <c r="A30" t="s">
        <v>214</v>
      </c>
      <c r="B30" s="1">
        <v>45765</v>
      </c>
      <c r="C30" t="s">
        <v>169</v>
      </c>
      <c r="D30" t="s">
        <v>98</v>
      </c>
      <c r="E30" t="s">
        <v>87</v>
      </c>
      <c r="F30" t="s">
        <v>98</v>
      </c>
      <c r="G30" t="s">
        <v>87</v>
      </c>
      <c r="H30" t="s">
        <v>91</v>
      </c>
      <c r="I30">
        <v>157</v>
      </c>
      <c r="J30">
        <v>158</v>
      </c>
      <c r="K30">
        <v>7</v>
      </c>
      <c r="L30">
        <v>6</v>
      </c>
      <c r="M30">
        <v>20</v>
      </c>
      <c r="N30">
        <v>19.3</v>
      </c>
    </row>
    <row r="31" spans="1:14" x14ac:dyDescent="0.3">
      <c r="A31" t="s">
        <v>215</v>
      </c>
      <c r="B31" s="1">
        <v>45766</v>
      </c>
      <c r="C31" t="s">
        <v>163</v>
      </c>
      <c r="D31" t="s">
        <v>32</v>
      </c>
      <c r="E31" t="s">
        <v>54</v>
      </c>
      <c r="F31" t="s">
        <v>54</v>
      </c>
      <c r="G31" t="s">
        <v>54</v>
      </c>
      <c r="H31" t="s">
        <v>52</v>
      </c>
      <c r="I31">
        <v>179</v>
      </c>
      <c r="J31">
        <v>180</v>
      </c>
      <c r="K31">
        <v>6</v>
      </c>
      <c r="L31">
        <v>5</v>
      </c>
      <c r="M31">
        <v>20</v>
      </c>
      <c r="N31">
        <v>19.2</v>
      </c>
    </row>
    <row r="32" spans="1:14" x14ac:dyDescent="0.3">
      <c r="A32" t="s">
        <v>216</v>
      </c>
      <c r="B32" s="1">
        <v>45767</v>
      </c>
      <c r="C32" t="s">
        <v>164</v>
      </c>
      <c r="D32" t="s">
        <v>44</v>
      </c>
      <c r="E32" t="s">
        <v>10</v>
      </c>
      <c r="F32" t="s">
        <v>10</v>
      </c>
      <c r="G32" t="s">
        <v>44</v>
      </c>
      <c r="H32" t="s">
        <v>50</v>
      </c>
      <c r="I32">
        <v>195</v>
      </c>
      <c r="J32">
        <v>190</v>
      </c>
      <c r="K32">
        <v>4</v>
      </c>
      <c r="L32">
        <v>8</v>
      </c>
      <c r="M32">
        <v>20</v>
      </c>
      <c r="N32">
        <v>20</v>
      </c>
    </row>
    <row r="33" spans="1:14" x14ac:dyDescent="0.3">
      <c r="A33" t="s">
        <v>217</v>
      </c>
      <c r="B33" s="1">
        <v>45768</v>
      </c>
      <c r="C33" t="s">
        <v>166</v>
      </c>
      <c r="D33" t="s">
        <v>65</v>
      </c>
      <c r="E33" t="s">
        <v>76</v>
      </c>
      <c r="F33" t="s">
        <v>76</v>
      </c>
      <c r="G33" t="s">
        <v>65</v>
      </c>
      <c r="H33" t="s">
        <v>71</v>
      </c>
      <c r="I33">
        <v>170</v>
      </c>
      <c r="J33">
        <v>169</v>
      </c>
      <c r="K33">
        <v>6</v>
      </c>
      <c r="L33">
        <v>7</v>
      </c>
      <c r="M33">
        <v>20</v>
      </c>
      <c r="N33">
        <v>20</v>
      </c>
    </row>
    <row r="34" spans="1:14" x14ac:dyDescent="0.3">
      <c r="A34" t="s">
        <v>218</v>
      </c>
      <c r="B34" s="1">
        <v>45769</v>
      </c>
      <c r="C34" t="s">
        <v>168</v>
      </c>
      <c r="D34" t="s">
        <v>87</v>
      </c>
      <c r="E34" t="s">
        <v>32</v>
      </c>
      <c r="F34" t="s">
        <v>87</v>
      </c>
      <c r="G34" t="s">
        <v>87</v>
      </c>
      <c r="H34" t="s">
        <v>93</v>
      </c>
      <c r="I34">
        <v>182</v>
      </c>
      <c r="J34">
        <v>175</v>
      </c>
      <c r="K34">
        <v>5</v>
      </c>
      <c r="L34">
        <v>9</v>
      </c>
      <c r="M34">
        <v>20</v>
      </c>
      <c r="N34">
        <v>20</v>
      </c>
    </row>
    <row r="35" spans="1:14" x14ac:dyDescent="0.3">
      <c r="A35" t="s">
        <v>219</v>
      </c>
      <c r="B35" s="1">
        <v>45770</v>
      </c>
      <c r="C35" t="s">
        <v>165</v>
      </c>
      <c r="D35" t="s">
        <v>54</v>
      </c>
      <c r="E35" t="s">
        <v>65</v>
      </c>
      <c r="F35" t="s">
        <v>65</v>
      </c>
      <c r="G35" t="s">
        <v>54</v>
      </c>
      <c r="H35" t="s">
        <v>55</v>
      </c>
      <c r="I35">
        <v>185</v>
      </c>
      <c r="J35">
        <v>178</v>
      </c>
      <c r="K35">
        <v>7</v>
      </c>
      <c r="L35">
        <v>9</v>
      </c>
      <c r="M35">
        <v>20</v>
      </c>
      <c r="N35">
        <v>20</v>
      </c>
    </row>
    <row r="36" spans="1:14" x14ac:dyDescent="0.3">
      <c r="A36" t="s">
        <v>220</v>
      </c>
      <c r="B36" s="1">
        <v>45771</v>
      </c>
      <c r="C36" t="s">
        <v>169</v>
      </c>
      <c r="D36" t="s">
        <v>98</v>
      </c>
      <c r="E36" t="s">
        <v>44</v>
      </c>
      <c r="F36" t="s">
        <v>98</v>
      </c>
      <c r="G36" t="s">
        <v>98</v>
      </c>
      <c r="H36" t="s">
        <v>101</v>
      </c>
      <c r="I36">
        <v>197</v>
      </c>
      <c r="J36">
        <v>196</v>
      </c>
      <c r="K36">
        <v>5</v>
      </c>
      <c r="L36">
        <v>8</v>
      </c>
      <c r="M36">
        <v>20</v>
      </c>
      <c r="N36">
        <v>20</v>
      </c>
    </row>
    <row r="37" spans="1:14" x14ac:dyDescent="0.3">
      <c r="A37" t="s">
        <v>221</v>
      </c>
      <c r="B37" s="1">
        <v>45772</v>
      </c>
      <c r="C37" t="s">
        <v>162</v>
      </c>
      <c r="D37" t="s">
        <v>10</v>
      </c>
      <c r="E37" t="s">
        <v>87</v>
      </c>
      <c r="F37" t="s">
        <v>87</v>
      </c>
      <c r="G37" t="s">
        <v>10</v>
      </c>
      <c r="H37" t="s">
        <v>27</v>
      </c>
      <c r="I37">
        <v>176</v>
      </c>
      <c r="J37">
        <v>172</v>
      </c>
      <c r="K37">
        <v>4</v>
      </c>
      <c r="L37">
        <v>8</v>
      </c>
      <c r="M37">
        <v>20</v>
      </c>
      <c r="N37">
        <v>20</v>
      </c>
    </row>
    <row r="38" spans="1:14" x14ac:dyDescent="0.3">
      <c r="A38" t="s">
        <v>222</v>
      </c>
      <c r="B38" s="1">
        <v>45773</v>
      </c>
      <c r="C38" t="s">
        <v>167</v>
      </c>
      <c r="D38" t="s">
        <v>76</v>
      </c>
      <c r="E38" t="s">
        <v>98</v>
      </c>
      <c r="F38" t="s">
        <v>98</v>
      </c>
      <c r="G38" t="s">
        <v>76</v>
      </c>
      <c r="H38" t="s">
        <v>80</v>
      </c>
      <c r="I38">
        <v>153</v>
      </c>
      <c r="J38">
        <v>150</v>
      </c>
      <c r="K38">
        <v>8</v>
      </c>
      <c r="L38">
        <v>10</v>
      </c>
      <c r="M38">
        <v>20</v>
      </c>
      <c r="N38">
        <v>19.3</v>
      </c>
    </row>
    <row r="39" spans="1:14" x14ac:dyDescent="0.3">
      <c r="A39" t="s">
        <v>223</v>
      </c>
      <c r="B39" s="1">
        <v>45774</v>
      </c>
      <c r="C39" t="s">
        <v>163</v>
      </c>
      <c r="D39" t="s">
        <v>32</v>
      </c>
      <c r="E39" t="s">
        <v>65</v>
      </c>
      <c r="F39" t="s">
        <v>65</v>
      </c>
      <c r="G39" t="s">
        <v>32</v>
      </c>
      <c r="H39" t="s">
        <v>33</v>
      </c>
      <c r="I39">
        <v>163</v>
      </c>
      <c r="J39">
        <v>158</v>
      </c>
      <c r="K39">
        <v>7</v>
      </c>
      <c r="L39">
        <v>8</v>
      </c>
      <c r="M39">
        <v>20</v>
      </c>
      <c r="N39">
        <v>20</v>
      </c>
    </row>
    <row r="40" spans="1:14" x14ac:dyDescent="0.3">
      <c r="A40" t="s">
        <v>224</v>
      </c>
      <c r="B40" s="1">
        <v>45775</v>
      </c>
      <c r="C40" t="s">
        <v>164</v>
      </c>
      <c r="D40" t="s">
        <v>44</v>
      </c>
      <c r="E40" t="s">
        <v>54</v>
      </c>
      <c r="F40" t="s">
        <v>54</v>
      </c>
      <c r="G40" t="s">
        <v>44</v>
      </c>
      <c r="H40" t="s">
        <v>42</v>
      </c>
      <c r="I40">
        <v>200</v>
      </c>
      <c r="J40">
        <v>195</v>
      </c>
      <c r="K40">
        <v>5</v>
      </c>
      <c r="L40">
        <v>8</v>
      </c>
      <c r="M40">
        <v>20</v>
      </c>
      <c r="N40">
        <v>20</v>
      </c>
    </row>
    <row r="41" spans="1:14" x14ac:dyDescent="0.3">
      <c r="A41" t="s">
        <v>225</v>
      </c>
      <c r="B41" s="1">
        <v>45776</v>
      </c>
      <c r="C41" t="s">
        <v>168</v>
      </c>
      <c r="D41" t="s">
        <v>87</v>
      </c>
      <c r="E41" t="s">
        <v>76</v>
      </c>
      <c r="F41" t="s">
        <v>87</v>
      </c>
      <c r="G41" t="s">
        <v>76</v>
      </c>
      <c r="H41" t="s">
        <v>83</v>
      </c>
      <c r="I41">
        <v>180</v>
      </c>
      <c r="J41">
        <v>181</v>
      </c>
      <c r="K41">
        <v>7</v>
      </c>
      <c r="L41">
        <v>4</v>
      </c>
      <c r="M41">
        <v>20</v>
      </c>
      <c r="N41">
        <v>19.399999999999999</v>
      </c>
    </row>
    <row r="42" spans="1:14" x14ac:dyDescent="0.3">
      <c r="A42" t="s">
        <v>226</v>
      </c>
      <c r="B42" s="1">
        <v>45777</v>
      </c>
      <c r="C42" t="s">
        <v>169</v>
      </c>
      <c r="D42" t="s">
        <v>98</v>
      </c>
      <c r="E42" t="s">
        <v>10</v>
      </c>
      <c r="F42" t="s">
        <v>10</v>
      </c>
      <c r="G42" t="s">
        <v>98</v>
      </c>
      <c r="H42" t="s">
        <v>96</v>
      </c>
      <c r="I42">
        <v>174</v>
      </c>
      <c r="J42">
        <v>173</v>
      </c>
      <c r="K42">
        <v>6</v>
      </c>
      <c r="L42">
        <v>7</v>
      </c>
      <c r="M42">
        <v>20</v>
      </c>
      <c r="N42">
        <v>20</v>
      </c>
    </row>
    <row r="43" spans="1:14" x14ac:dyDescent="0.3">
      <c r="A43" t="s">
        <v>227</v>
      </c>
      <c r="B43" s="1">
        <v>45778</v>
      </c>
      <c r="C43" t="s">
        <v>166</v>
      </c>
      <c r="D43" t="s">
        <v>65</v>
      </c>
      <c r="E43" t="s">
        <v>32</v>
      </c>
      <c r="F43" t="s">
        <v>32</v>
      </c>
      <c r="G43" t="s">
        <v>65</v>
      </c>
      <c r="H43" t="s">
        <v>63</v>
      </c>
      <c r="I43">
        <v>187</v>
      </c>
      <c r="J43">
        <v>175</v>
      </c>
      <c r="K43">
        <v>4</v>
      </c>
      <c r="L43">
        <v>9</v>
      </c>
      <c r="M43">
        <v>20</v>
      </c>
      <c r="N43">
        <v>20</v>
      </c>
    </row>
    <row r="44" spans="1:14" x14ac:dyDescent="0.3">
      <c r="A44" t="s">
        <v>228</v>
      </c>
      <c r="B44" s="1">
        <v>45779</v>
      </c>
      <c r="C44" t="s">
        <v>162</v>
      </c>
      <c r="D44" t="s">
        <v>10</v>
      </c>
      <c r="E44" t="s">
        <v>44</v>
      </c>
      <c r="F44" t="s">
        <v>44</v>
      </c>
      <c r="G44" t="s">
        <v>44</v>
      </c>
      <c r="H44" t="s">
        <v>45</v>
      </c>
      <c r="I44">
        <v>162</v>
      </c>
      <c r="J44">
        <v>165</v>
      </c>
      <c r="K44">
        <v>9</v>
      </c>
      <c r="L44">
        <v>5</v>
      </c>
      <c r="M44">
        <v>20</v>
      </c>
      <c r="N44">
        <v>19.2</v>
      </c>
    </row>
    <row r="45" spans="1:14" x14ac:dyDescent="0.3">
      <c r="A45" t="s">
        <v>229</v>
      </c>
      <c r="B45" s="1">
        <v>45780</v>
      </c>
      <c r="C45" t="s">
        <v>165</v>
      </c>
      <c r="D45" t="s">
        <v>54</v>
      </c>
      <c r="E45" t="s">
        <v>76</v>
      </c>
      <c r="F45" t="s">
        <v>76</v>
      </c>
      <c r="G45" t="s">
        <v>54</v>
      </c>
      <c r="H45" t="s">
        <v>52</v>
      </c>
      <c r="I45">
        <v>196</v>
      </c>
      <c r="J45">
        <v>188</v>
      </c>
      <c r="K45">
        <v>3</v>
      </c>
      <c r="L45">
        <v>8</v>
      </c>
      <c r="M45">
        <v>20</v>
      </c>
      <c r="N45">
        <v>20</v>
      </c>
    </row>
    <row r="46" spans="1:14" x14ac:dyDescent="0.3">
      <c r="A46" t="s">
        <v>230</v>
      </c>
      <c r="B46" s="1">
        <v>45781</v>
      </c>
      <c r="C46" t="s">
        <v>169</v>
      </c>
      <c r="D46" t="s">
        <v>98</v>
      </c>
      <c r="E46" t="s">
        <v>65</v>
      </c>
      <c r="F46" t="s">
        <v>65</v>
      </c>
      <c r="G46" t="s">
        <v>98</v>
      </c>
      <c r="H46" t="s">
        <v>103</v>
      </c>
      <c r="I46">
        <v>184</v>
      </c>
      <c r="J46">
        <v>183</v>
      </c>
      <c r="K46">
        <v>7</v>
      </c>
      <c r="L46">
        <v>9</v>
      </c>
      <c r="M46">
        <v>20</v>
      </c>
      <c r="N46">
        <v>20</v>
      </c>
    </row>
    <row r="47" spans="1:14" x14ac:dyDescent="0.3">
      <c r="A47" t="s">
        <v>231</v>
      </c>
      <c r="B47" s="1">
        <v>45782</v>
      </c>
      <c r="C47" t="s">
        <v>163</v>
      </c>
      <c r="D47" t="s">
        <v>32</v>
      </c>
      <c r="E47" t="s">
        <v>76</v>
      </c>
      <c r="F47" t="s">
        <v>76</v>
      </c>
      <c r="G47" t="s">
        <v>32</v>
      </c>
      <c r="H47" t="s">
        <v>30</v>
      </c>
      <c r="I47">
        <v>192</v>
      </c>
      <c r="J47">
        <v>174</v>
      </c>
      <c r="K47">
        <v>4</v>
      </c>
      <c r="L47">
        <v>8</v>
      </c>
      <c r="M47">
        <v>20</v>
      </c>
      <c r="N47">
        <v>20</v>
      </c>
    </row>
    <row r="48" spans="1:14" x14ac:dyDescent="0.3">
      <c r="A48" t="s">
        <v>232</v>
      </c>
      <c r="B48" s="1">
        <v>45783</v>
      </c>
      <c r="C48" t="s">
        <v>168</v>
      </c>
      <c r="D48" t="s">
        <v>87</v>
      </c>
      <c r="E48" t="s">
        <v>54</v>
      </c>
      <c r="F48" t="s">
        <v>87</v>
      </c>
      <c r="G48" t="s">
        <v>54</v>
      </c>
      <c r="H48" t="s">
        <v>55</v>
      </c>
      <c r="I48">
        <v>208</v>
      </c>
      <c r="J48">
        <v>198</v>
      </c>
      <c r="K48">
        <v>6</v>
      </c>
      <c r="L48">
        <v>7</v>
      </c>
      <c r="M48">
        <v>20</v>
      </c>
      <c r="N48">
        <v>20</v>
      </c>
    </row>
    <row r="49" spans="1:14" x14ac:dyDescent="0.3">
      <c r="A49" t="s">
        <v>233</v>
      </c>
      <c r="B49" s="1">
        <v>45784</v>
      </c>
      <c r="C49" t="s">
        <v>164</v>
      </c>
      <c r="D49" t="s">
        <v>44</v>
      </c>
      <c r="E49" t="s">
        <v>10</v>
      </c>
      <c r="F49" t="s">
        <v>10</v>
      </c>
      <c r="G49" t="s">
        <v>76</v>
      </c>
      <c r="H49" t="s">
        <v>74</v>
      </c>
      <c r="I49">
        <v>193</v>
      </c>
      <c r="J49">
        <v>165</v>
      </c>
      <c r="K49">
        <v>5</v>
      </c>
      <c r="L49">
        <v>10</v>
      </c>
      <c r="M49">
        <v>20</v>
      </c>
      <c r="N49">
        <v>17.2</v>
      </c>
    </row>
    <row r="50" spans="1:14" x14ac:dyDescent="0.3">
      <c r="A50" t="s">
        <v>234</v>
      </c>
      <c r="B50" s="1">
        <v>45785</v>
      </c>
      <c r="C50" t="s">
        <v>166</v>
      </c>
      <c r="D50" t="s">
        <v>65</v>
      </c>
      <c r="E50" t="s">
        <v>44</v>
      </c>
      <c r="F50" t="s">
        <v>44</v>
      </c>
      <c r="G50" t="s">
        <v>76</v>
      </c>
      <c r="H50" t="s">
        <v>83</v>
      </c>
      <c r="I50">
        <v>181</v>
      </c>
      <c r="J50">
        <v>185</v>
      </c>
      <c r="K50">
        <v>5</v>
      </c>
      <c r="L50">
        <v>4</v>
      </c>
      <c r="M50">
        <v>20</v>
      </c>
      <c r="N50">
        <v>19.3</v>
      </c>
    </row>
    <row r="51" spans="1:14" x14ac:dyDescent="0.3">
      <c r="A51" t="s">
        <v>235</v>
      </c>
      <c r="B51" s="1">
        <v>45786</v>
      </c>
      <c r="C51" t="s">
        <v>167</v>
      </c>
      <c r="D51" t="s">
        <v>76</v>
      </c>
      <c r="E51" t="s">
        <v>32</v>
      </c>
      <c r="F51" t="s">
        <v>65</v>
      </c>
      <c r="G51" t="s">
        <v>54</v>
      </c>
      <c r="H51" t="s">
        <v>58</v>
      </c>
      <c r="I51">
        <v>164</v>
      </c>
      <c r="J51">
        <v>165</v>
      </c>
      <c r="K51">
        <v>8</v>
      </c>
      <c r="L51">
        <v>3</v>
      </c>
      <c r="M51">
        <v>20</v>
      </c>
      <c r="N51">
        <v>18.399999999999999</v>
      </c>
    </row>
    <row r="52" spans="1:14" x14ac:dyDescent="0.3">
      <c r="A52" t="s">
        <v>236</v>
      </c>
      <c r="B52" s="1">
        <v>45787</v>
      </c>
      <c r="C52" t="s">
        <v>162</v>
      </c>
      <c r="D52" t="s">
        <v>10</v>
      </c>
      <c r="E52" t="s">
        <v>32</v>
      </c>
      <c r="F52" t="s">
        <v>87</v>
      </c>
      <c r="G52" t="s">
        <v>32</v>
      </c>
      <c r="H52" t="s">
        <v>33</v>
      </c>
      <c r="I52">
        <v>178</v>
      </c>
      <c r="J52">
        <v>169</v>
      </c>
      <c r="K52">
        <v>6</v>
      </c>
      <c r="L52">
        <v>9</v>
      </c>
      <c r="M52">
        <v>20</v>
      </c>
      <c r="N52">
        <v>20</v>
      </c>
    </row>
    <row r="53" spans="1:14" x14ac:dyDescent="0.3">
      <c r="A53" t="s">
        <v>237</v>
      </c>
      <c r="B53" s="1">
        <v>45788</v>
      </c>
      <c r="C53" t="s">
        <v>165</v>
      </c>
      <c r="D53" t="s">
        <v>54</v>
      </c>
      <c r="E53" t="s">
        <v>98</v>
      </c>
      <c r="F53" t="s">
        <v>10</v>
      </c>
      <c r="G53" t="s">
        <v>98</v>
      </c>
      <c r="H53" t="s">
        <v>101</v>
      </c>
      <c r="I53">
        <v>154</v>
      </c>
      <c r="J53">
        <v>155</v>
      </c>
      <c r="K53">
        <v>10</v>
      </c>
      <c r="L53">
        <v>3</v>
      </c>
      <c r="M53">
        <v>19.5</v>
      </c>
      <c r="N53">
        <v>17</v>
      </c>
    </row>
    <row r="54" spans="1:14" x14ac:dyDescent="0.3">
      <c r="A54" t="s">
        <v>238</v>
      </c>
      <c r="B54" s="1">
        <v>45789</v>
      </c>
      <c r="C54" t="s">
        <v>169</v>
      </c>
      <c r="D54" t="s">
        <v>98</v>
      </c>
      <c r="E54" t="s">
        <v>44</v>
      </c>
      <c r="F54" t="s">
        <v>44</v>
      </c>
      <c r="G54" t="s">
        <v>54</v>
      </c>
      <c r="H54" t="s">
        <v>60</v>
      </c>
      <c r="I54">
        <v>171</v>
      </c>
      <c r="J54">
        <v>156</v>
      </c>
      <c r="K54">
        <v>5</v>
      </c>
      <c r="L54">
        <v>9</v>
      </c>
      <c r="M54">
        <v>20</v>
      </c>
      <c r="N54">
        <v>18.3</v>
      </c>
    </row>
    <row r="55" spans="1:14" x14ac:dyDescent="0.3">
      <c r="A55" t="s">
        <v>239</v>
      </c>
      <c r="B55" s="1">
        <v>45790</v>
      </c>
      <c r="C55" t="s">
        <v>168</v>
      </c>
      <c r="D55" t="s">
        <v>87</v>
      </c>
      <c r="E55" t="s">
        <v>65</v>
      </c>
      <c r="F55" t="s">
        <v>65</v>
      </c>
      <c r="G55" t="s">
        <v>65</v>
      </c>
      <c r="H55" t="s">
        <v>66</v>
      </c>
      <c r="I55">
        <v>149</v>
      </c>
      <c r="J55">
        <v>150</v>
      </c>
      <c r="K55">
        <v>9</v>
      </c>
      <c r="L55">
        <v>4</v>
      </c>
      <c r="M55">
        <v>20</v>
      </c>
      <c r="N55">
        <v>18.100000000000001</v>
      </c>
    </row>
    <row r="56" spans="1:14" x14ac:dyDescent="0.3">
      <c r="A56" t="s">
        <v>240</v>
      </c>
      <c r="B56" s="1">
        <v>45791</v>
      </c>
      <c r="C56" t="s">
        <v>164</v>
      </c>
      <c r="D56" t="s">
        <v>44</v>
      </c>
      <c r="E56" t="s">
        <v>76</v>
      </c>
      <c r="F56" t="s">
        <v>10</v>
      </c>
      <c r="G56" t="s">
        <v>87</v>
      </c>
      <c r="H56" t="s">
        <v>85</v>
      </c>
      <c r="I56">
        <v>177</v>
      </c>
      <c r="J56">
        <v>152</v>
      </c>
      <c r="K56">
        <v>7</v>
      </c>
      <c r="L56">
        <v>8</v>
      </c>
      <c r="M56">
        <v>20</v>
      </c>
      <c r="N56">
        <v>18.399999999999999</v>
      </c>
    </row>
    <row r="57" spans="1:14" x14ac:dyDescent="0.3">
      <c r="A57" t="s">
        <v>241</v>
      </c>
      <c r="B57" s="1">
        <v>45792</v>
      </c>
      <c r="C57" t="s">
        <v>162</v>
      </c>
      <c r="D57" t="s">
        <v>10</v>
      </c>
      <c r="E57" t="s">
        <v>54</v>
      </c>
      <c r="F57" t="s">
        <v>32</v>
      </c>
      <c r="G57" t="s">
        <v>32</v>
      </c>
      <c r="H57" t="s">
        <v>36</v>
      </c>
      <c r="I57">
        <v>161</v>
      </c>
      <c r="J57">
        <v>162</v>
      </c>
      <c r="K57">
        <v>8</v>
      </c>
      <c r="L57">
        <v>6</v>
      </c>
      <c r="M57">
        <v>20</v>
      </c>
      <c r="N57">
        <v>19.2</v>
      </c>
    </row>
    <row r="58" spans="1:14" x14ac:dyDescent="0.3">
      <c r="A58" t="s">
        <v>242</v>
      </c>
      <c r="B58" s="1">
        <v>45793</v>
      </c>
      <c r="C58" t="s">
        <v>163</v>
      </c>
      <c r="D58" t="s">
        <v>32</v>
      </c>
      <c r="E58" t="s">
        <v>98</v>
      </c>
      <c r="F58" t="s">
        <v>65</v>
      </c>
      <c r="G58" t="s">
        <v>44</v>
      </c>
      <c r="H58" t="s">
        <v>42</v>
      </c>
      <c r="I58">
        <v>198</v>
      </c>
      <c r="J58">
        <v>187</v>
      </c>
      <c r="K58">
        <v>3</v>
      </c>
      <c r="L58">
        <v>8</v>
      </c>
      <c r="M58">
        <v>20</v>
      </c>
      <c r="N58">
        <v>20</v>
      </c>
    </row>
    <row r="59" spans="1:14" x14ac:dyDescent="0.3">
      <c r="A59" t="s">
        <v>243</v>
      </c>
      <c r="B59" s="1">
        <v>45794</v>
      </c>
      <c r="C59" t="s">
        <v>166</v>
      </c>
      <c r="D59" t="s">
        <v>65</v>
      </c>
      <c r="E59" t="s">
        <v>76</v>
      </c>
      <c r="F59" t="s">
        <v>76</v>
      </c>
      <c r="G59" t="s">
        <v>10</v>
      </c>
      <c r="H59" t="s">
        <v>8</v>
      </c>
      <c r="I59">
        <v>188</v>
      </c>
      <c r="J59">
        <v>186</v>
      </c>
      <c r="K59">
        <v>6</v>
      </c>
      <c r="L59">
        <v>8</v>
      </c>
      <c r="M59">
        <v>20</v>
      </c>
      <c r="N59">
        <v>20</v>
      </c>
    </row>
    <row r="60" spans="1:14" x14ac:dyDescent="0.3">
      <c r="A60" t="s">
        <v>244</v>
      </c>
      <c r="B60" s="1">
        <v>45795</v>
      </c>
      <c r="C60" t="s">
        <v>165</v>
      </c>
      <c r="D60" t="s">
        <v>54</v>
      </c>
      <c r="E60" t="s">
        <v>87</v>
      </c>
      <c r="F60" t="s">
        <v>98</v>
      </c>
      <c r="G60" t="s">
        <v>98</v>
      </c>
      <c r="H60" t="s">
        <v>96</v>
      </c>
      <c r="I60">
        <v>169</v>
      </c>
      <c r="J60">
        <v>170</v>
      </c>
      <c r="K60">
        <v>8</v>
      </c>
      <c r="L60">
        <v>4</v>
      </c>
      <c r="M60">
        <v>20</v>
      </c>
      <c r="N60">
        <v>19.100000000000001</v>
      </c>
    </row>
    <row r="61" spans="1:14" x14ac:dyDescent="0.3">
      <c r="A61" t="s">
        <v>245</v>
      </c>
      <c r="B61" s="1">
        <v>45796</v>
      </c>
      <c r="C61" t="s">
        <v>167</v>
      </c>
      <c r="D61" t="s">
        <v>76</v>
      </c>
      <c r="E61" t="s">
        <v>10</v>
      </c>
      <c r="F61" t="s">
        <v>65</v>
      </c>
      <c r="G61" t="s">
        <v>87</v>
      </c>
      <c r="H61" t="s">
        <v>88</v>
      </c>
      <c r="I61">
        <v>155</v>
      </c>
      <c r="J61">
        <v>156</v>
      </c>
      <c r="K61">
        <v>10</v>
      </c>
      <c r="L61">
        <v>6</v>
      </c>
      <c r="M61">
        <v>20</v>
      </c>
      <c r="N61">
        <v>19.399999999999999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FB0E8-4F9D-4E6C-9FD0-4E92501FFDFC}">
  <dimension ref="A1:D11"/>
  <sheetViews>
    <sheetView workbookViewId="0"/>
  </sheetViews>
  <sheetFormatPr defaultRowHeight="14.4" x14ac:dyDescent="0.3"/>
  <cols>
    <col min="1" max="1" width="11.44140625" bestFit="1" customWidth="1"/>
    <col min="2" max="2" width="51.33203125" bestFit="1" customWidth="1"/>
    <col min="3" max="3" width="10.6640625" bestFit="1" customWidth="1"/>
    <col min="4" max="4" width="10.44140625" bestFit="1" customWidth="1"/>
  </cols>
  <sheetData>
    <row r="1" spans="1:4" x14ac:dyDescent="0.3">
      <c r="A1" t="s">
        <v>159</v>
      </c>
      <c r="B1" t="s">
        <v>160</v>
      </c>
      <c r="C1" t="s">
        <v>109</v>
      </c>
      <c r="D1" t="s">
        <v>161</v>
      </c>
    </row>
    <row r="2" spans="1:4" x14ac:dyDescent="0.3">
      <c r="A2" t="s">
        <v>162</v>
      </c>
      <c r="B2" t="s">
        <v>114</v>
      </c>
      <c r="C2" t="s">
        <v>115</v>
      </c>
      <c r="D2">
        <v>33108</v>
      </c>
    </row>
    <row r="3" spans="1:4" x14ac:dyDescent="0.3">
      <c r="A3" t="s">
        <v>163</v>
      </c>
      <c r="B3" t="s">
        <v>120</v>
      </c>
      <c r="C3" t="s">
        <v>121</v>
      </c>
      <c r="D3">
        <v>38000</v>
      </c>
    </row>
    <row r="4" spans="1:4" x14ac:dyDescent="0.3">
      <c r="A4" t="s">
        <v>164</v>
      </c>
      <c r="B4" t="s">
        <v>126</v>
      </c>
      <c r="C4" t="s">
        <v>127</v>
      </c>
      <c r="D4">
        <v>42000</v>
      </c>
    </row>
    <row r="5" spans="1:4" x14ac:dyDescent="0.3">
      <c r="A5" t="s">
        <v>165</v>
      </c>
      <c r="B5" t="s">
        <v>132</v>
      </c>
      <c r="C5" t="s">
        <v>133</v>
      </c>
      <c r="D5">
        <v>68000</v>
      </c>
    </row>
    <row r="6" spans="1:4" x14ac:dyDescent="0.3">
      <c r="A6" t="s">
        <v>166</v>
      </c>
      <c r="B6" t="s">
        <v>138</v>
      </c>
      <c r="C6" t="s">
        <v>139</v>
      </c>
      <c r="D6">
        <v>41820</v>
      </c>
    </row>
    <row r="7" spans="1:4" x14ac:dyDescent="0.3">
      <c r="A7" t="s">
        <v>167</v>
      </c>
      <c r="B7" t="s">
        <v>144</v>
      </c>
      <c r="C7" t="s">
        <v>145</v>
      </c>
      <c r="D7">
        <v>30000</v>
      </c>
    </row>
    <row r="8" spans="1:4" x14ac:dyDescent="0.3">
      <c r="A8" t="s">
        <v>168</v>
      </c>
      <c r="B8" t="s">
        <v>150</v>
      </c>
      <c r="C8" t="s">
        <v>151</v>
      </c>
      <c r="D8">
        <v>38000</v>
      </c>
    </row>
    <row r="9" spans="1:4" x14ac:dyDescent="0.3">
      <c r="A9" t="s">
        <v>169</v>
      </c>
      <c r="B9" t="s">
        <v>156</v>
      </c>
      <c r="C9" t="s">
        <v>157</v>
      </c>
      <c r="D9">
        <v>39200</v>
      </c>
    </row>
    <row r="10" spans="1:4" x14ac:dyDescent="0.3">
      <c r="A10" t="s">
        <v>170</v>
      </c>
      <c r="B10" t="s">
        <v>171</v>
      </c>
      <c r="C10" t="s">
        <v>172</v>
      </c>
      <c r="D10">
        <v>132000</v>
      </c>
    </row>
    <row r="11" spans="1:4" x14ac:dyDescent="0.3">
      <c r="A11" t="s">
        <v>173</v>
      </c>
      <c r="B11" t="s">
        <v>174</v>
      </c>
      <c r="C11" t="s">
        <v>175</v>
      </c>
      <c r="D11">
        <v>50000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DE08D-B095-45A6-810F-32E152CD23EE}">
  <dimension ref="A1:G9"/>
  <sheetViews>
    <sheetView workbookViewId="0"/>
  </sheetViews>
  <sheetFormatPr defaultRowHeight="14.4" x14ac:dyDescent="0.3"/>
  <cols>
    <col min="1" max="1" width="10.6640625" bestFit="1" customWidth="1"/>
    <col min="2" max="2" width="29.21875" bestFit="1" customWidth="1"/>
    <col min="3" max="3" width="14.44140625" bestFit="1" customWidth="1"/>
    <col min="4" max="4" width="17" bestFit="1" customWidth="1"/>
    <col min="5" max="5" width="40" bestFit="1" customWidth="1"/>
    <col min="6" max="6" width="9.77734375" bestFit="1" customWidth="1"/>
    <col min="7" max="7" width="16.33203125" bestFit="1" customWidth="1"/>
  </cols>
  <sheetData>
    <row r="1" spans="1:7" x14ac:dyDescent="0.3">
      <c r="A1" t="s">
        <v>2</v>
      </c>
      <c r="B1" t="s">
        <v>105</v>
      </c>
      <c r="C1" t="s">
        <v>106</v>
      </c>
      <c r="D1" t="s">
        <v>107</v>
      </c>
      <c r="E1" t="s">
        <v>108</v>
      </c>
      <c r="F1" t="s">
        <v>109</v>
      </c>
      <c r="G1" t="s">
        <v>110</v>
      </c>
    </row>
    <row r="2" spans="1:7" x14ac:dyDescent="0.3">
      <c r="A2" t="s">
        <v>10</v>
      </c>
      <c r="B2" t="s">
        <v>111</v>
      </c>
      <c r="C2" t="s">
        <v>112</v>
      </c>
      <c r="D2" t="s">
        <v>113</v>
      </c>
      <c r="E2" t="s">
        <v>114</v>
      </c>
      <c r="F2" t="s">
        <v>115</v>
      </c>
      <c r="G2" t="s">
        <v>116</v>
      </c>
    </row>
    <row r="3" spans="1:7" x14ac:dyDescent="0.3">
      <c r="A3" t="s">
        <v>32</v>
      </c>
      <c r="B3" t="s">
        <v>117</v>
      </c>
      <c r="C3" t="s">
        <v>118</v>
      </c>
      <c r="D3" t="s">
        <v>119</v>
      </c>
      <c r="E3" t="s">
        <v>120</v>
      </c>
      <c r="F3" t="s">
        <v>121</v>
      </c>
      <c r="G3" t="s">
        <v>122</v>
      </c>
    </row>
    <row r="4" spans="1:7" x14ac:dyDescent="0.3">
      <c r="A4" t="s">
        <v>44</v>
      </c>
      <c r="B4" t="s">
        <v>123</v>
      </c>
      <c r="C4" t="s">
        <v>124</v>
      </c>
      <c r="D4" t="s">
        <v>125</v>
      </c>
      <c r="E4" t="s">
        <v>126</v>
      </c>
      <c r="F4" t="s">
        <v>127</v>
      </c>
      <c r="G4" t="s">
        <v>128</v>
      </c>
    </row>
    <row r="5" spans="1:7" x14ac:dyDescent="0.3">
      <c r="A5" t="s">
        <v>54</v>
      </c>
      <c r="B5" t="s">
        <v>129</v>
      </c>
      <c r="C5" t="s">
        <v>130</v>
      </c>
      <c r="D5" t="s">
        <v>131</v>
      </c>
      <c r="E5" t="s">
        <v>132</v>
      </c>
      <c r="F5" t="s">
        <v>133</v>
      </c>
      <c r="G5" t="s">
        <v>134</v>
      </c>
    </row>
    <row r="6" spans="1:7" x14ac:dyDescent="0.3">
      <c r="A6" t="s">
        <v>65</v>
      </c>
      <c r="B6" t="s">
        <v>135</v>
      </c>
      <c r="C6" t="s">
        <v>136</v>
      </c>
      <c r="D6" t="s">
        <v>137</v>
      </c>
      <c r="E6" t="s">
        <v>138</v>
      </c>
      <c r="F6" t="s">
        <v>139</v>
      </c>
      <c r="G6" t="s">
        <v>140</v>
      </c>
    </row>
    <row r="7" spans="1:7" x14ac:dyDescent="0.3">
      <c r="A7" t="s">
        <v>76</v>
      </c>
      <c r="B7" t="s">
        <v>141</v>
      </c>
      <c r="C7" t="s">
        <v>142</v>
      </c>
      <c r="D7" t="s">
        <v>143</v>
      </c>
      <c r="E7" t="s">
        <v>144</v>
      </c>
      <c r="F7" t="s">
        <v>145</v>
      </c>
      <c r="G7" t="s">
        <v>146</v>
      </c>
    </row>
    <row r="8" spans="1:7" x14ac:dyDescent="0.3">
      <c r="A8" t="s">
        <v>87</v>
      </c>
      <c r="B8" t="s">
        <v>147</v>
      </c>
      <c r="C8" t="s">
        <v>148</v>
      </c>
      <c r="D8" t="s">
        <v>149</v>
      </c>
      <c r="E8" t="s">
        <v>150</v>
      </c>
      <c r="F8" t="s">
        <v>151</v>
      </c>
      <c r="G8" t="s">
        <v>152</v>
      </c>
    </row>
    <row r="9" spans="1:7" x14ac:dyDescent="0.3">
      <c r="A9" t="s">
        <v>98</v>
      </c>
      <c r="B9" t="s">
        <v>153</v>
      </c>
      <c r="C9" t="s">
        <v>154</v>
      </c>
      <c r="D9" t="s">
        <v>155</v>
      </c>
      <c r="E9" t="s">
        <v>156</v>
      </c>
      <c r="F9" t="s">
        <v>157</v>
      </c>
      <c r="G9" t="s">
        <v>158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CD7C4-7A26-452B-879B-982198D1D724}">
  <dimension ref="A1:H34"/>
  <sheetViews>
    <sheetView workbookViewId="0">
      <selection activeCell="K14" sqref="K14"/>
    </sheetView>
  </sheetViews>
  <sheetFormatPr defaultRowHeight="14.4" x14ac:dyDescent="0.3"/>
  <cols>
    <col min="1" max="1" width="11.21875" bestFit="1" customWidth="1"/>
    <col min="2" max="2" width="18.5546875" bestFit="1" customWidth="1"/>
    <col min="3" max="3" width="10.6640625" bestFit="1" customWidth="1"/>
    <col min="4" max="4" width="12.21875" bestFit="1" customWidth="1"/>
    <col min="5" max="5" width="13.33203125" bestFit="1" customWidth="1"/>
    <col min="6" max="6" width="6.44140625" bestFit="1" customWidth="1"/>
    <col min="7" max="7" width="14.33203125" bestFit="1" customWidth="1"/>
    <col min="8" max="8" width="20.33203125" bestFit="1" customWidth="1"/>
  </cols>
  <sheetData>
    <row r="1" spans="1:8" x14ac:dyDescent="0.3">
      <c r="A1" t="s">
        <v>0</v>
      </c>
      <c r="B1" t="s">
        <v>1</v>
      </c>
      <c r="C1" t="s">
        <v>2</v>
      </c>
      <c r="D1" t="s">
        <v>3</v>
      </c>
      <c r="E1" t="s">
        <v>4</v>
      </c>
      <c r="F1" t="s">
        <v>5</v>
      </c>
      <c r="G1" t="s">
        <v>6</v>
      </c>
      <c r="H1" t="s">
        <v>7</v>
      </c>
    </row>
    <row r="2" spans="1:8" x14ac:dyDescent="0.3">
      <c r="A2" t="s">
        <v>8</v>
      </c>
      <c r="B2" t="s">
        <v>9</v>
      </c>
      <c r="C2" t="s">
        <v>10</v>
      </c>
      <c r="D2" t="s">
        <v>11</v>
      </c>
      <c r="E2" t="s">
        <v>12</v>
      </c>
      <c r="F2">
        <v>33</v>
      </c>
      <c r="G2" t="s">
        <v>13</v>
      </c>
      <c r="H2" t="s">
        <v>14</v>
      </c>
    </row>
    <row r="3" spans="1:8" x14ac:dyDescent="0.3">
      <c r="A3" t="s">
        <v>15</v>
      </c>
      <c r="B3" t="s">
        <v>16</v>
      </c>
      <c r="C3" t="s">
        <v>10</v>
      </c>
      <c r="D3" t="s">
        <v>17</v>
      </c>
      <c r="E3" t="s">
        <v>12</v>
      </c>
      <c r="F3">
        <v>31</v>
      </c>
      <c r="G3" t="s">
        <v>13</v>
      </c>
      <c r="H3" t="s">
        <v>18</v>
      </c>
    </row>
    <row r="4" spans="1:8" x14ac:dyDescent="0.3">
      <c r="A4" t="s">
        <v>19</v>
      </c>
      <c r="B4" t="s">
        <v>20</v>
      </c>
      <c r="C4" t="s">
        <v>10</v>
      </c>
      <c r="D4" t="s">
        <v>21</v>
      </c>
      <c r="E4" t="s">
        <v>12</v>
      </c>
      <c r="F4">
        <v>26</v>
      </c>
      <c r="G4" t="s">
        <v>22</v>
      </c>
      <c r="H4" t="s">
        <v>23</v>
      </c>
    </row>
    <row r="5" spans="1:8" x14ac:dyDescent="0.3">
      <c r="A5" t="s">
        <v>24</v>
      </c>
      <c r="B5" t="s">
        <v>25</v>
      </c>
      <c r="C5" t="s">
        <v>10</v>
      </c>
      <c r="D5" t="s">
        <v>26</v>
      </c>
      <c r="E5" t="s">
        <v>12</v>
      </c>
      <c r="F5">
        <v>22</v>
      </c>
      <c r="G5" t="s">
        <v>22</v>
      </c>
      <c r="H5" t="s">
        <v>14</v>
      </c>
    </row>
    <row r="6" spans="1:8" x14ac:dyDescent="0.3">
      <c r="A6" t="s">
        <v>27</v>
      </c>
      <c r="B6" t="s">
        <v>28</v>
      </c>
      <c r="C6" t="s">
        <v>10</v>
      </c>
      <c r="D6" t="s">
        <v>26</v>
      </c>
      <c r="E6" t="s">
        <v>12</v>
      </c>
      <c r="F6">
        <v>31</v>
      </c>
      <c r="G6" t="s">
        <v>13</v>
      </c>
      <c r="H6" t="s">
        <v>29</v>
      </c>
    </row>
    <row r="7" spans="1:8" x14ac:dyDescent="0.3">
      <c r="A7" t="s">
        <v>30</v>
      </c>
      <c r="B7" t="s">
        <v>31</v>
      </c>
      <c r="C7" t="s">
        <v>32</v>
      </c>
      <c r="D7" t="s">
        <v>26</v>
      </c>
      <c r="E7" t="s">
        <v>12</v>
      </c>
      <c r="F7">
        <v>31</v>
      </c>
      <c r="G7" t="s">
        <v>22</v>
      </c>
      <c r="H7" t="s">
        <v>29</v>
      </c>
    </row>
    <row r="8" spans="1:8" x14ac:dyDescent="0.3">
      <c r="A8" t="s">
        <v>33</v>
      </c>
      <c r="B8" t="s">
        <v>34</v>
      </c>
      <c r="C8" t="s">
        <v>32</v>
      </c>
      <c r="D8" t="s">
        <v>17</v>
      </c>
      <c r="E8" t="s">
        <v>12</v>
      </c>
      <c r="F8">
        <v>32</v>
      </c>
      <c r="G8" t="s">
        <v>13</v>
      </c>
      <c r="H8" t="s">
        <v>35</v>
      </c>
    </row>
    <row r="9" spans="1:8" x14ac:dyDescent="0.3">
      <c r="A9" t="s">
        <v>36</v>
      </c>
      <c r="B9" t="s">
        <v>37</v>
      </c>
      <c r="C9" t="s">
        <v>32</v>
      </c>
      <c r="D9" t="s">
        <v>26</v>
      </c>
      <c r="E9" t="s">
        <v>38</v>
      </c>
      <c r="F9">
        <v>33</v>
      </c>
      <c r="G9" t="s">
        <v>13</v>
      </c>
      <c r="H9" t="s">
        <v>29</v>
      </c>
    </row>
    <row r="10" spans="1:8" x14ac:dyDescent="0.3">
      <c r="A10" t="s">
        <v>39</v>
      </c>
      <c r="B10" t="s">
        <v>40</v>
      </c>
      <c r="C10" t="s">
        <v>32</v>
      </c>
      <c r="D10" t="s">
        <v>17</v>
      </c>
      <c r="E10" t="s">
        <v>41</v>
      </c>
      <c r="F10">
        <v>22</v>
      </c>
      <c r="G10" t="s">
        <v>13</v>
      </c>
      <c r="H10" t="s">
        <v>18</v>
      </c>
    </row>
    <row r="11" spans="1:8" x14ac:dyDescent="0.3">
      <c r="A11" t="s">
        <v>42</v>
      </c>
      <c r="B11" t="s">
        <v>43</v>
      </c>
      <c r="C11" t="s">
        <v>44</v>
      </c>
      <c r="D11" t="s">
        <v>11</v>
      </c>
      <c r="E11" t="s">
        <v>12</v>
      </c>
      <c r="F11">
        <v>36</v>
      </c>
      <c r="G11" t="s">
        <v>13</v>
      </c>
      <c r="H11" t="s">
        <v>29</v>
      </c>
    </row>
    <row r="12" spans="1:8" x14ac:dyDescent="0.3">
      <c r="A12" t="s">
        <v>45</v>
      </c>
      <c r="B12" t="s">
        <v>46</v>
      </c>
      <c r="C12" t="s">
        <v>44</v>
      </c>
      <c r="D12" t="s">
        <v>17</v>
      </c>
      <c r="E12" t="s">
        <v>12</v>
      </c>
      <c r="F12">
        <v>31</v>
      </c>
      <c r="G12" t="s">
        <v>13</v>
      </c>
      <c r="H12" t="s">
        <v>18</v>
      </c>
    </row>
    <row r="13" spans="1:8" x14ac:dyDescent="0.3">
      <c r="A13" t="s">
        <v>47</v>
      </c>
      <c r="B13" t="s">
        <v>48</v>
      </c>
      <c r="C13" t="s">
        <v>44</v>
      </c>
      <c r="D13" t="s">
        <v>26</v>
      </c>
      <c r="E13" t="s">
        <v>49</v>
      </c>
      <c r="F13">
        <v>36</v>
      </c>
      <c r="G13" t="s">
        <v>13</v>
      </c>
      <c r="H13" t="s">
        <v>14</v>
      </c>
    </row>
    <row r="14" spans="1:8" x14ac:dyDescent="0.3">
      <c r="A14" t="s">
        <v>50</v>
      </c>
      <c r="B14" t="s">
        <v>51</v>
      </c>
      <c r="C14" t="s">
        <v>44</v>
      </c>
      <c r="D14" t="s">
        <v>21</v>
      </c>
      <c r="E14" t="s">
        <v>12</v>
      </c>
      <c r="F14">
        <v>39</v>
      </c>
      <c r="G14" t="s">
        <v>13</v>
      </c>
      <c r="H14" t="s">
        <v>23</v>
      </c>
    </row>
    <row r="15" spans="1:8" x14ac:dyDescent="0.3">
      <c r="A15" t="s">
        <v>52</v>
      </c>
      <c r="B15" t="s">
        <v>53</v>
      </c>
      <c r="C15" t="s">
        <v>54</v>
      </c>
      <c r="D15" t="s">
        <v>11</v>
      </c>
      <c r="E15" t="s">
        <v>12</v>
      </c>
      <c r="F15">
        <v>27</v>
      </c>
      <c r="G15" t="s">
        <v>22</v>
      </c>
      <c r="H15" t="s">
        <v>14</v>
      </c>
    </row>
    <row r="16" spans="1:8" x14ac:dyDescent="0.3">
      <c r="A16" t="s">
        <v>55</v>
      </c>
      <c r="B16" t="s">
        <v>56</v>
      </c>
      <c r="C16" t="s">
        <v>54</v>
      </c>
      <c r="D16" t="s">
        <v>26</v>
      </c>
      <c r="E16" t="s">
        <v>57</v>
      </c>
      <c r="F16">
        <v>36</v>
      </c>
      <c r="G16" t="s">
        <v>13</v>
      </c>
      <c r="H16" t="s">
        <v>18</v>
      </c>
    </row>
    <row r="17" spans="1:8" x14ac:dyDescent="0.3">
      <c r="A17" t="s">
        <v>58</v>
      </c>
      <c r="B17" t="s">
        <v>59</v>
      </c>
      <c r="C17" t="s">
        <v>54</v>
      </c>
      <c r="D17" t="s">
        <v>26</v>
      </c>
      <c r="E17" t="s">
        <v>57</v>
      </c>
      <c r="F17">
        <v>36</v>
      </c>
      <c r="G17" t="s">
        <v>22</v>
      </c>
      <c r="H17" t="s">
        <v>14</v>
      </c>
    </row>
    <row r="18" spans="1:8" x14ac:dyDescent="0.3">
      <c r="A18" t="s">
        <v>60</v>
      </c>
      <c r="B18" t="s">
        <v>61</v>
      </c>
      <c r="C18" t="s">
        <v>54</v>
      </c>
      <c r="D18" t="s">
        <v>17</v>
      </c>
      <c r="E18" t="s">
        <v>12</v>
      </c>
      <c r="F18">
        <v>33</v>
      </c>
      <c r="G18" t="s">
        <v>13</v>
      </c>
      <c r="H18" t="s">
        <v>62</v>
      </c>
    </row>
    <row r="19" spans="1:8" x14ac:dyDescent="0.3">
      <c r="A19" t="s">
        <v>63</v>
      </c>
      <c r="B19" t="s">
        <v>64</v>
      </c>
      <c r="C19" t="s">
        <v>65</v>
      </c>
      <c r="D19" t="s">
        <v>11</v>
      </c>
      <c r="E19" t="s">
        <v>49</v>
      </c>
      <c r="F19">
        <v>38</v>
      </c>
      <c r="G19" t="s">
        <v>22</v>
      </c>
      <c r="H19" t="s">
        <v>62</v>
      </c>
    </row>
    <row r="20" spans="1:8" x14ac:dyDescent="0.3">
      <c r="A20" t="s">
        <v>66</v>
      </c>
      <c r="B20" t="s">
        <v>67</v>
      </c>
      <c r="C20" t="s">
        <v>65</v>
      </c>
      <c r="D20" t="s">
        <v>17</v>
      </c>
      <c r="E20" t="s">
        <v>12</v>
      </c>
      <c r="F20">
        <v>30</v>
      </c>
      <c r="G20" t="s">
        <v>22</v>
      </c>
      <c r="H20" t="s">
        <v>68</v>
      </c>
    </row>
    <row r="21" spans="1:8" x14ac:dyDescent="0.3">
      <c r="A21" t="s">
        <v>69</v>
      </c>
      <c r="B21" t="s">
        <v>70</v>
      </c>
      <c r="C21" t="s">
        <v>65</v>
      </c>
      <c r="D21" t="s">
        <v>26</v>
      </c>
      <c r="E21" t="s">
        <v>49</v>
      </c>
      <c r="F21">
        <v>33</v>
      </c>
      <c r="G21" t="s">
        <v>13</v>
      </c>
      <c r="H21" t="s">
        <v>29</v>
      </c>
    </row>
    <row r="22" spans="1:8" x14ac:dyDescent="0.3">
      <c r="A22" t="s">
        <v>71</v>
      </c>
      <c r="B22" t="s">
        <v>72</v>
      </c>
      <c r="C22" t="s">
        <v>65</v>
      </c>
      <c r="D22" t="s">
        <v>26</v>
      </c>
      <c r="E22" t="s">
        <v>12</v>
      </c>
      <c r="F22">
        <v>31</v>
      </c>
      <c r="G22" t="s">
        <v>22</v>
      </c>
      <c r="H22" t="s">
        <v>73</v>
      </c>
    </row>
    <row r="23" spans="1:8" x14ac:dyDescent="0.3">
      <c r="A23" t="s">
        <v>74</v>
      </c>
      <c r="B23" t="s">
        <v>75</v>
      </c>
      <c r="C23" t="s">
        <v>76</v>
      </c>
      <c r="D23" t="s">
        <v>21</v>
      </c>
      <c r="E23" t="s">
        <v>77</v>
      </c>
      <c r="F23">
        <v>34</v>
      </c>
      <c r="G23" t="s">
        <v>13</v>
      </c>
      <c r="H23" t="s">
        <v>23</v>
      </c>
    </row>
    <row r="24" spans="1:8" x14ac:dyDescent="0.3">
      <c r="A24" t="s">
        <v>78</v>
      </c>
      <c r="B24" t="s">
        <v>79</v>
      </c>
      <c r="C24" t="s">
        <v>76</v>
      </c>
      <c r="D24" t="s">
        <v>17</v>
      </c>
      <c r="E24" t="s">
        <v>12</v>
      </c>
      <c r="F24">
        <v>34</v>
      </c>
      <c r="G24" t="s">
        <v>13</v>
      </c>
      <c r="H24" t="s">
        <v>62</v>
      </c>
    </row>
    <row r="25" spans="1:8" x14ac:dyDescent="0.3">
      <c r="A25" t="s">
        <v>80</v>
      </c>
      <c r="B25" t="s">
        <v>81</v>
      </c>
      <c r="C25" t="s">
        <v>76</v>
      </c>
      <c r="D25" t="s">
        <v>17</v>
      </c>
      <c r="E25" t="s">
        <v>38</v>
      </c>
      <c r="F25">
        <v>35</v>
      </c>
      <c r="G25" t="s">
        <v>22</v>
      </c>
      <c r="H25" t="s">
        <v>82</v>
      </c>
    </row>
    <row r="26" spans="1:8" x14ac:dyDescent="0.3">
      <c r="A26" t="s">
        <v>83</v>
      </c>
      <c r="B26" t="s">
        <v>84</v>
      </c>
      <c r="C26" t="s">
        <v>76</v>
      </c>
      <c r="D26" t="s">
        <v>11</v>
      </c>
      <c r="E26" t="s">
        <v>12</v>
      </c>
      <c r="F26">
        <v>23</v>
      </c>
      <c r="G26" t="s">
        <v>22</v>
      </c>
      <c r="H26" t="s">
        <v>62</v>
      </c>
    </row>
    <row r="27" spans="1:8" x14ac:dyDescent="0.3">
      <c r="A27" t="s">
        <v>85</v>
      </c>
      <c r="B27" t="s">
        <v>86</v>
      </c>
      <c r="C27" t="s">
        <v>87</v>
      </c>
      <c r="D27" t="s">
        <v>26</v>
      </c>
      <c r="E27" t="s">
        <v>77</v>
      </c>
      <c r="F27">
        <v>31</v>
      </c>
      <c r="G27" t="s">
        <v>13</v>
      </c>
      <c r="H27" t="s">
        <v>62</v>
      </c>
    </row>
    <row r="28" spans="1:8" x14ac:dyDescent="0.3">
      <c r="A28" t="s">
        <v>88</v>
      </c>
      <c r="B28" t="s">
        <v>89</v>
      </c>
      <c r="C28" t="s">
        <v>87</v>
      </c>
      <c r="D28" t="s">
        <v>17</v>
      </c>
      <c r="E28" t="s">
        <v>12</v>
      </c>
      <c r="F28">
        <v>25</v>
      </c>
      <c r="G28" t="s">
        <v>22</v>
      </c>
      <c r="H28" t="s">
        <v>90</v>
      </c>
    </row>
    <row r="29" spans="1:8" x14ac:dyDescent="0.3">
      <c r="A29" t="s">
        <v>91</v>
      </c>
      <c r="B29" t="s">
        <v>92</v>
      </c>
      <c r="C29" t="s">
        <v>87</v>
      </c>
      <c r="D29" t="s">
        <v>21</v>
      </c>
      <c r="E29" t="s">
        <v>12</v>
      </c>
      <c r="F29">
        <v>31</v>
      </c>
      <c r="G29" t="s">
        <v>13</v>
      </c>
      <c r="H29" t="s">
        <v>23</v>
      </c>
    </row>
    <row r="30" spans="1:8" x14ac:dyDescent="0.3">
      <c r="A30" t="s">
        <v>93</v>
      </c>
      <c r="B30" t="s">
        <v>94</v>
      </c>
      <c r="C30" t="s">
        <v>87</v>
      </c>
      <c r="D30" t="s">
        <v>17</v>
      </c>
      <c r="E30" t="s">
        <v>95</v>
      </c>
      <c r="F30">
        <v>29</v>
      </c>
      <c r="G30" t="s">
        <v>13</v>
      </c>
      <c r="H30" t="s">
        <v>18</v>
      </c>
    </row>
    <row r="31" spans="1:8" x14ac:dyDescent="0.3">
      <c r="A31" t="s">
        <v>96</v>
      </c>
      <c r="B31" t="s">
        <v>97</v>
      </c>
      <c r="C31" t="s">
        <v>98</v>
      </c>
      <c r="D31" t="s">
        <v>11</v>
      </c>
      <c r="E31" t="s">
        <v>12</v>
      </c>
      <c r="F31">
        <v>24</v>
      </c>
      <c r="G31" t="s">
        <v>22</v>
      </c>
      <c r="H31" t="s">
        <v>73</v>
      </c>
    </row>
    <row r="32" spans="1:8" x14ac:dyDescent="0.3">
      <c r="A32" t="s">
        <v>99</v>
      </c>
      <c r="B32" t="s">
        <v>100</v>
      </c>
      <c r="C32" t="s">
        <v>98</v>
      </c>
      <c r="D32" t="s">
        <v>17</v>
      </c>
      <c r="E32" t="s">
        <v>12</v>
      </c>
      <c r="F32">
        <v>35</v>
      </c>
      <c r="G32" t="s">
        <v>13</v>
      </c>
      <c r="H32" t="s">
        <v>29</v>
      </c>
    </row>
    <row r="33" spans="1:8" x14ac:dyDescent="0.3">
      <c r="A33" t="s">
        <v>101</v>
      </c>
      <c r="B33" t="s">
        <v>102</v>
      </c>
      <c r="C33" t="s">
        <v>98</v>
      </c>
      <c r="D33" t="s">
        <v>21</v>
      </c>
      <c r="E33" t="s">
        <v>95</v>
      </c>
      <c r="F33">
        <v>33</v>
      </c>
      <c r="G33" t="s">
        <v>13</v>
      </c>
      <c r="H33" t="s">
        <v>14</v>
      </c>
    </row>
    <row r="34" spans="1:8" x14ac:dyDescent="0.3">
      <c r="A34" t="s">
        <v>103</v>
      </c>
      <c r="B34" t="s">
        <v>104</v>
      </c>
      <c r="C34" t="s">
        <v>98</v>
      </c>
      <c r="D34" t="s">
        <v>11</v>
      </c>
      <c r="E34" t="s">
        <v>49</v>
      </c>
      <c r="F34">
        <v>31</v>
      </c>
      <c r="G34" t="s">
        <v>22</v>
      </c>
      <c r="H34" t="s">
        <v>14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BD7AF-DB71-481C-AD92-FD6EEBE570A9}">
  <dimension ref="A3:G37"/>
  <sheetViews>
    <sheetView topLeftCell="A3" workbookViewId="0">
      <selection activeCell="U23" sqref="U23"/>
    </sheetView>
  </sheetViews>
  <sheetFormatPr defaultRowHeight="14.4" x14ac:dyDescent="0.3"/>
  <cols>
    <col min="1" max="1" width="26.33203125" bestFit="1" customWidth="1"/>
    <col min="2" max="2" width="9.77734375" bestFit="1" customWidth="1"/>
    <col min="3" max="3" width="10.6640625" bestFit="1" customWidth="1"/>
    <col min="4" max="4" width="12.21875" bestFit="1" customWidth="1"/>
    <col min="5" max="5" width="14.6640625" bestFit="1" customWidth="1"/>
    <col min="6" max="6" width="10.5546875" bestFit="1" customWidth="1"/>
    <col min="7" max="7" width="8.88671875" bestFit="1" customWidth="1"/>
  </cols>
  <sheetData>
    <row r="3" spans="1:7" x14ac:dyDescent="0.3">
      <c r="A3" s="2" t="s">
        <v>344</v>
      </c>
      <c r="B3" t="s">
        <v>342</v>
      </c>
      <c r="C3" t="s">
        <v>178</v>
      </c>
      <c r="D3" t="s">
        <v>343</v>
      </c>
      <c r="E3" t="s">
        <v>183</v>
      </c>
      <c r="F3" t="s">
        <v>181</v>
      </c>
      <c r="G3" t="s">
        <v>185</v>
      </c>
    </row>
    <row r="4" spans="1:7" x14ac:dyDescent="0.3">
      <c r="A4" s="3" t="s">
        <v>97</v>
      </c>
      <c r="B4" s="5">
        <v>440</v>
      </c>
      <c r="C4" s="5">
        <v>265</v>
      </c>
      <c r="D4" s="5">
        <v>0</v>
      </c>
      <c r="E4" s="5">
        <v>0</v>
      </c>
      <c r="F4" s="5">
        <v>1138.25</v>
      </c>
      <c r="G4" s="5">
        <v>0</v>
      </c>
    </row>
    <row r="5" spans="1:7" x14ac:dyDescent="0.3">
      <c r="A5" s="3" t="s">
        <v>56</v>
      </c>
      <c r="B5" s="5">
        <v>368</v>
      </c>
      <c r="C5" s="5">
        <v>194</v>
      </c>
      <c r="D5" s="5">
        <v>11</v>
      </c>
      <c r="E5" s="5">
        <v>216</v>
      </c>
      <c r="F5" s="5">
        <v>1311.95</v>
      </c>
      <c r="G5" s="5">
        <v>54</v>
      </c>
    </row>
    <row r="6" spans="1:7" x14ac:dyDescent="0.3">
      <c r="A6" s="3" t="s">
        <v>89</v>
      </c>
      <c r="B6" s="5">
        <v>0</v>
      </c>
      <c r="C6" s="5">
        <v>0</v>
      </c>
      <c r="D6" s="5">
        <v>19</v>
      </c>
      <c r="E6" s="5">
        <v>232</v>
      </c>
      <c r="F6" s="5">
        <v>0</v>
      </c>
      <c r="G6" s="5">
        <v>58</v>
      </c>
    </row>
    <row r="7" spans="1:7" x14ac:dyDescent="0.3">
      <c r="A7" s="3" t="s">
        <v>72</v>
      </c>
      <c r="B7" s="5">
        <v>0</v>
      </c>
      <c r="C7" s="5">
        <v>0</v>
      </c>
      <c r="D7" s="5">
        <v>9</v>
      </c>
      <c r="E7" s="5">
        <v>120</v>
      </c>
      <c r="F7" s="5">
        <v>0</v>
      </c>
      <c r="G7" s="5">
        <v>30</v>
      </c>
    </row>
    <row r="8" spans="1:7" x14ac:dyDescent="0.3">
      <c r="A8" s="3" t="s">
        <v>100</v>
      </c>
      <c r="B8" s="5">
        <v>0</v>
      </c>
      <c r="C8" s="5">
        <v>0</v>
      </c>
      <c r="D8" s="5">
        <v>6</v>
      </c>
      <c r="E8" s="5">
        <v>130</v>
      </c>
      <c r="F8" s="5">
        <v>0</v>
      </c>
      <c r="G8" s="5">
        <v>32.5</v>
      </c>
    </row>
    <row r="9" spans="1:7" x14ac:dyDescent="0.3">
      <c r="A9" s="3" t="s">
        <v>37</v>
      </c>
      <c r="B9" s="5">
        <v>261</v>
      </c>
      <c r="C9" s="5">
        <v>171</v>
      </c>
      <c r="D9" s="5">
        <v>0</v>
      </c>
      <c r="E9" s="5">
        <v>0</v>
      </c>
      <c r="F9" s="5">
        <v>910.17</v>
      </c>
      <c r="G9" s="5">
        <v>0</v>
      </c>
    </row>
    <row r="10" spans="1:7" x14ac:dyDescent="0.3">
      <c r="A10" s="3" t="s">
        <v>64</v>
      </c>
      <c r="B10" s="5">
        <v>300</v>
      </c>
      <c r="C10" s="5">
        <v>205</v>
      </c>
      <c r="D10" s="5">
        <v>0</v>
      </c>
      <c r="E10" s="5">
        <v>0</v>
      </c>
      <c r="F10" s="5">
        <v>852.61</v>
      </c>
      <c r="G10" s="5">
        <v>0</v>
      </c>
    </row>
    <row r="11" spans="1:7" x14ac:dyDescent="0.3">
      <c r="A11" s="3" t="s">
        <v>34</v>
      </c>
      <c r="B11" s="5">
        <v>0</v>
      </c>
      <c r="C11" s="5">
        <v>0</v>
      </c>
      <c r="D11" s="5">
        <v>17</v>
      </c>
      <c r="E11" s="5">
        <v>188</v>
      </c>
      <c r="F11" s="5">
        <v>0</v>
      </c>
      <c r="G11" s="5">
        <v>47</v>
      </c>
    </row>
    <row r="12" spans="1:7" x14ac:dyDescent="0.3">
      <c r="A12" s="3" t="s">
        <v>51</v>
      </c>
      <c r="B12" s="5">
        <v>42</v>
      </c>
      <c r="C12" s="5">
        <v>21</v>
      </c>
      <c r="D12" s="5">
        <v>0</v>
      </c>
      <c r="E12" s="5">
        <v>0</v>
      </c>
      <c r="F12" s="5">
        <v>200</v>
      </c>
      <c r="G12" s="5">
        <v>0</v>
      </c>
    </row>
    <row r="13" spans="1:7" x14ac:dyDescent="0.3">
      <c r="A13" s="3" t="s">
        <v>48</v>
      </c>
      <c r="B13" s="5">
        <v>151</v>
      </c>
      <c r="C13" s="5">
        <v>85</v>
      </c>
      <c r="D13" s="5">
        <v>2</v>
      </c>
      <c r="E13" s="5">
        <v>28</v>
      </c>
      <c r="F13" s="5">
        <v>535</v>
      </c>
      <c r="G13" s="5">
        <v>7</v>
      </c>
    </row>
    <row r="14" spans="1:7" x14ac:dyDescent="0.3">
      <c r="A14" s="3" t="s">
        <v>28</v>
      </c>
      <c r="B14" s="5">
        <v>180</v>
      </c>
      <c r="C14" s="5">
        <v>118</v>
      </c>
      <c r="D14" s="5">
        <v>6</v>
      </c>
      <c r="E14" s="5">
        <v>125</v>
      </c>
      <c r="F14" s="5">
        <v>755.56</v>
      </c>
      <c r="G14" s="5">
        <v>31.25</v>
      </c>
    </row>
    <row r="15" spans="1:7" x14ac:dyDescent="0.3">
      <c r="A15" s="3" t="s">
        <v>102</v>
      </c>
      <c r="B15" s="5">
        <v>482</v>
      </c>
      <c r="C15" s="5">
        <v>256</v>
      </c>
      <c r="D15" s="5">
        <v>0</v>
      </c>
      <c r="E15" s="5">
        <v>0</v>
      </c>
      <c r="F15" s="5">
        <v>1334.32</v>
      </c>
      <c r="G15" s="5">
        <v>0</v>
      </c>
    </row>
    <row r="16" spans="1:7" x14ac:dyDescent="0.3">
      <c r="A16" s="3" t="s">
        <v>20</v>
      </c>
      <c r="B16" s="5">
        <v>278</v>
      </c>
      <c r="C16" s="5">
        <v>185</v>
      </c>
      <c r="D16" s="5">
        <v>0</v>
      </c>
      <c r="E16" s="5">
        <v>0</v>
      </c>
      <c r="F16" s="5">
        <v>820.95</v>
      </c>
      <c r="G16" s="5">
        <v>0</v>
      </c>
    </row>
    <row r="17" spans="1:7" x14ac:dyDescent="0.3">
      <c r="A17" s="3" t="s">
        <v>16</v>
      </c>
      <c r="B17" s="5">
        <v>0</v>
      </c>
      <c r="C17" s="5">
        <v>0</v>
      </c>
      <c r="D17" s="5">
        <v>25</v>
      </c>
      <c r="E17" s="5">
        <v>267</v>
      </c>
      <c r="F17" s="5">
        <v>0</v>
      </c>
      <c r="G17" s="5">
        <v>69.25</v>
      </c>
    </row>
    <row r="18" spans="1:7" x14ac:dyDescent="0.3">
      <c r="A18" s="3" t="s">
        <v>92</v>
      </c>
      <c r="B18" s="5">
        <v>82</v>
      </c>
      <c r="C18" s="5">
        <v>56</v>
      </c>
      <c r="D18" s="5">
        <v>0</v>
      </c>
      <c r="E18" s="5">
        <v>0</v>
      </c>
      <c r="F18" s="5">
        <v>252.38</v>
      </c>
      <c r="G18" s="5">
        <v>0</v>
      </c>
    </row>
    <row r="19" spans="1:7" x14ac:dyDescent="0.3">
      <c r="A19" s="3" t="s">
        <v>75</v>
      </c>
      <c r="B19" s="5">
        <v>597</v>
      </c>
      <c r="C19" s="5">
        <v>347</v>
      </c>
      <c r="D19" s="5">
        <v>0</v>
      </c>
      <c r="E19" s="5">
        <v>0</v>
      </c>
      <c r="F19" s="5">
        <v>1356.77</v>
      </c>
      <c r="G19" s="5">
        <v>0</v>
      </c>
    </row>
    <row r="20" spans="1:7" x14ac:dyDescent="0.3">
      <c r="A20" s="3" t="s">
        <v>94</v>
      </c>
      <c r="B20" s="5">
        <v>0</v>
      </c>
      <c r="C20" s="5">
        <v>0</v>
      </c>
      <c r="D20" s="5">
        <v>6</v>
      </c>
      <c r="E20" s="5">
        <v>162</v>
      </c>
      <c r="F20" s="5">
        <v>0</v>
      </c>
      <c r="G20" s="5">
        <v>40.5</v>
      </c>
    </row>
    <row r="21" spans="1:7" x14ac:dyDescent="0.3">
      <c r="A21" s="3" t="s">
        <v>67</v>
      </c>
      <c r="B21" s="5">
        <v>0</v>
      </c>
      <c r="C21" s="5">
        <v>0</v>
      </c>
      <c r="D21" s="5">
        <v>10</v>
      </c>
      <c r="E21" s="5">
        <v>92</v>
      </c>
      <c r="F21" s="5">
        <v>0</v>
      </c>
      <c r="G21" s="5">
        <v>23</v>
      </c>
    </row>
    <row r="22" spans="1:7" x14ac:dyDescent="0.3">
      <c r="A22" s="3" t="s">
        <v>86</v>
      </c>
      <c r="B22" s="5">
        <v>345</v>
      </c>
      <c r="C22" s="5">
        <v>220</v>
      </c>
      <c r="D22" s="5">
        <v>0</v>
      </c>
      <c r="E22" s="5">
        <v>0</v>
      </c>
      <c r="F22" s="5">
        <v>928.7</v>
      </c>
      <c r="G22" s="5">
        <v>0</v>
      </c>
    </row>
    <row r="23" spans="1:7" x14ac:dyDescent="0.3">
      <c r="A23" s="3" t="s">
        <v>40</v>
      </c>
      <c r="B23" s="5">
        <v>0</v>
      </c>
      <c r="C23" s="5">
        <v>0</v>
      </c>
      <c r="D23" s="5">
        <v>3</v>
      </c>
      <c r="E23" s="5">
        <v>21</v>
      </c>
      <c r="F23" s="5">
        <v>0</v>
      </c>
      <c r="G23" s="5">
        <v>5.25</v>
      </c>
    </row>
    <row r="24" spans="1:7" x14ac:dyDescent="0.3">
      <c r="A24" s="3" t="s">
        <v>70</v>
      </c>
      <c r="B24" s="5">
        <v>210</v>
      </c>
      <c r="C24" s="5">
        <v>125</v>
      </c>
      <c r="D24" s="5">
        <v>2</v>
      </c>
      <c r="E24" s="5">
        <v>80</v>
      </c>
      <c r="F24" s="5">
        <v>671.43</v>
      </c>
      <c r="G24" s="5">
        <v>20</v>
      </c>
    </row>
    <row r="25" spans="1:7" x14ac:dyDescent="0.3">
      <c r="A25" s="3" t="s">
        <v>46</v>
      </c>
      <c r="B25" s="5">
        <v>25</v>
      </c>
      <c r="C25" s="5">
        <v>18</v>
      </c>
      <c r="D25" s="5">
        <v>9</v>
      </c>
      <c r="E25" s="5">
        <v>165</v>
      </c>
      <c r="F25" s="5">
        <v>138.88999999999999</v>
      </c>
      <c r="G25" s="5">
        <v>41.25</v>
      </c>
    </row>
    <row r="26" spans="1:7" x14ac:dyDescent="0.3">
      <c r="A26" s="3" t="s">
        <v>53</v>
      </c>
      <c r="B26" s="5">
        <v>382</v>
      </c>
      <c r="C26" s="5">
        <v>233</v>
      </c>
      <c r="D26" s="5">
        <v>0</v>
      </c>
      <c r="E26" s="5">
        <v>0</v>
      </c>
      <c r="F26" s="5">
        <v>1199.76</v>
      </c>
      <c r="G26" s="5">
        <v>0</v>
      </c>
    </row>
    <row r="27" spans="1:7" x14ac:dyDescent="0.3">
      <c r="A27" s="3" t="s">
        <v>31</v>
      </c>
      <c r="B27" s="5">
        <v>491</v>
      </c>
      <c r="C27" s="5">
        <v>279</v>
      </c>
      <c r="D27" s="5">
        <v>0</v>
      </c>
      <c r="E27" s="5">
        <v>0</v>
      </c>
      <c r="F27" s="5">
        <v>1383.37</v>
      </c>
      <c r="G27" s="5">
        <v>0</v>
      </c>
    </row>
    <row r="28" spans="1:7" x14ac:dyDescent="0.3">
      <c r="A28" s="3" t="s">
        <v>59</v>
      </c>
      <c r="B28" s="5">
        <v>171</v>
      </c>
      <c r="C28" s="5">
        <v>98</v>
      </c>
      <c r="D28" s="5">
        <v>16</v>
      </c>
      <c r="E28" s="5">
        <v>202</v>
      </c>
      <c r="F28" s="5">
        <v>1376.67</v>
      </c>
      <c r="G28" s="5">
        <v>50.5</v>
      </c>
    </row>
    <row r="29" spans="1:7" x14ac:dyDescent="0.3">
      <c r="A29" s="3" t="s">
        <v>9</v>
      </c>
      <c r="B29" s="5">
        <v>386</v>
      </c>
      <c r="C29" s="5">
        <v>226</v>
      </c>
      <c r="D29" s="5">
        <v>0</v>
      </c>
      <c r="E29" s="5">
        <v>0</v>
      </c>
      <c r="F29" s="5">
        <v>851.39</v>
      </c>
      <c r="G29" s="5">
        <v>0</v>
      </c>
    </row>
    <row r="30" spans="1:7" x14ac:dyDescent="0.3">
      <c r="A30" s="3" t="s">
        <v>25</v>
      </c>
      <c r="B30" s="5">
        <v>132</v>
      </c>
      <c r="C30" s="5">
        <v>84</v>
      </c>
      <c r="D30" s="5">
        <v>0</v>
      </c>
      <c r="E30" s="5">
        <v>0</v>
      </c>
      <c r="F30" s="5">
        <v>453.89</v>
      </c>
      <c r="G30" s="5">
        <v>0</v>
      </c>
    </row>
    <row r="31" spans="1:7" x14ac:dyDescent="0.3">
      <c r="A31" s="3" t="s">
        <v>104</v>
      </c>
      <c r="B31" s="5">
        <v>550</v>
      </c>
      <c r="C31" s="5">
        <v>339</v>
      </c>
      <c r="D31" s="5">
        <v>0</v>
      </c>
      <c r="E31" s="5">
        <v>0</v>
      </c>
      <c r="F31" s="5">
        <v>1280.68</v>
      </c>
      <c r="G31" s="5">
        <v>0</v>
      </c>
    </row>
    <row r="32" spans="1:7" x14ac:dyDescent="0.3">
      <c r="A32" s="3" t="s">
        <v>81</v>
      </c>
      <c r="B32" s="5">
        <v>0</v>
      </c>
      <c r="C32" s="5">
        <v>0</v>
      </c>
      <c r="D32" s="5">
        <v>13</v>
      </c>
      <c r="E32" s="5">
        <v>114</v>
      </c>
      <c r="F32" s="5">
        <v>0</v>
      </c>
      <c r="G32" s="5">
        <v>29.25</v>
      </c>
    </row>
    <row r="33" spans="1:7" x14ac:dyDescent="0.3">
      <c r="A33" s="3" t="s">
        <v>61</v>
      </c>
      <c r="B33" s="5">
        <v>0</v>
      </c>
      <c r="C33" s="5">
        <v>0</v>
      </c>
      <c r="D33" s="5">
        <v>15</v>
      </c>
      <c r="E33" s="5">
        <v>113</v>
      </c>
      <c r="F33" s="5">
        <v>0</v>
      </c>
      <c r="G33" s="5">
        <v>29.61</v>
      </c>
    </row>
    <row r="34" spans="1:7" x14ac:dyDescent="0.3">
      <c r="A34" s="3" t="s">
        <v>43</v>
      </c>
      <c r="B34" s="5">
        <v>982</v>
      </c>
      <c r="C34" s="5">
        <v>604</v>
      </c>
      <c r="D34" s="5">
        <v>0</v>
      </c>
      <c r="E34" s="5">
        <v>0</v>
      </c>
      <c r="F34" s="5">
        <v>2259.84</v>
      </c>
      <c r="G34" s="5">
        <v>0</v>
      </c>
    </row>
    <row r="35" spans="1:7" x14ac:dyDescent="0.3">
      <c r="A35" s="3" t="s">
        <v>84</v>
      </c>
      <c r="B35" s="5">
        <v>608</v>
      </c>
      <c r="C35" s="5">
        <v>368</v>
      </c>
      <c r="D35" s="5">
        <v>0</v>
      </c>
      <c r="E35" s="5">
        <v>0</v>
      </c>
      <c r="F35" s="5">
        <v>1435.67</v>
      </c>
      <c r="G35" s="5">
        <v>0</v>
      </c>
    </row>
    <row r="36" spans="1:7" x14ac:dyDescent="0.3">
      <c r="A36" s="3" t="s">
        <v>79</v>
      </c>
      <c r="B36" s="5">
        <v>0</v>
      </c>
      <c r="C36" s="5">
        <v>0</v>
      </c>
      <c r="D36" s="5">
        <v>9</v>
      </c>
      <c r="E36" s="5">
        <v>180</v>
      </c>
      <c r="F36" s="5">
        <v>0</v>
      </c>
      <c r="G36" s="5">
        <v>45</v>
      </c>
    </row>
    <row r="37" spans="1:7" x14ac:dyDescent="0.3">
      <c r="A37" s="3" t="s">
        <v>339</v>
      </c>
      <c r="B37" s="5">
        <v>7463</v>
      </c>
      <c r="C37" s="5">
        <v>4497</v>
      </c>
      <c r="D37" s="5">
        <v>178</v>
      </c>
      <c r="E37" s="5">
        <v>2435</v>
      </c>
      <c r="F37" s="5">
        <v>21448.25</v>
      </c>
      <c r="G37" s="5">
        <v>613.36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F1A0E-9028-4C5B-958B-1E7BF3987B12}">
  <dimension ref="A3:R35"/>
  <sheetViews>
    <sheetView zoomScaleNormal="100" workbookViewId="0">
      <selection activeCell="J11" sqref="J11"/>
    </sheetView>
  </sheetViews>
  <sheetFormatPr defaultRowHeight="14.4" x14ac:dyDescent="0.3"/>
  <cols>
    <col min="1" max="1" width="29.21875" bestFit="1" customWidth="1"/>
    <col min="2" max="4" width="9.77734375" bestFit="1" customWidth="1"/>
    <col min="5" max="5" width="12.21875" bestFit="1" customWidth="1"/>
    <col min="10" max="10" width="29.21875" bestFit="1" customWidth="1"/>
    <col min="11" max="12" width="9.77734375" bestFit="1" customWidth="1"/>
    <col min="13" max="13" width="32.44140625" bestFit="1" customWidth="1"/>
    <col min="14" max="14" width="8.88671875" bestFit="1" customWidth="1"/>
    <col min="15" max="15" width="12.21875" bestFit="1" customWidth="1"/>
    <col min="16" max="16" width="12.109375" bestFit="1" customWidth="1"/>
    <col min="17" max="17" width="6" bestFit="1" customWidth="1"/>
    <col min="18" max="18" width="9.77734375" bestFit="1" customWidth="1"/>
    <col min="19" max="19" width="10.6640625" bestFit="1" customWidth="1"/>
    <col min="20" max="49" width="4" bestFit="1" customWidth="1"/>
    <col min="50" max="50" width="10.77734375" bestFit="1" customWidth="1"/>
  </cols>
  <sheetData>
    <row r="3" spans="1:18" x14ac:dyDescent="0.3">
      <c r="A3" s="2" t="s">
        <v>338</v>
      </c>
      <c r="B3" t="s">
        <v>340</v>
      </c>
      <c r="C3" t="s">
        <v>341</v>
      </c>
      <c r="D3" t="s">
        <v>342</v>
      </c>
      <c r="E3" t="s">
        <v>343</v>
      </c>
    </row>
    <row r="4" spans="1:18" x14ac:dyDescent="0.3">
      <c r="A4" s="3" t="s">
        <v>117</v>
      </c>
      <c r="B4" s="4">
        <v>8</v>
      </c>
      <c r="C4" s="5">
        <v>5</v>
      </c>
      <c r="D4" s="4">
        <v>2869</v>
      </c>
      <c r="E4" s="4">
        <v>103</v>
      </c>
    </row>
    <row r="5" spans="1:18" x14ac:dyDescent="0.3">
      <c r="A5" s="3" t="s">
        <v>135</v>
      </c>
      <c r="B5" s="4">
        <v>7</v>
      </c>
      <c r="C5" s="5">
        <v>2</v>
      </c>
      <c r="D5" s="4">
        <v>2420</v>
      </c>
      <c r="E5" s="4">
        <v>85</v>
      </c>
      <c r="J5" s="2" t="s">
        <v>338</v>
      </c>
      <c r="K5" t="s">
        <v>342</v>
      </c>
    </row>
    <row r="6" spans="1:18" x14ac:dyDescent="0.3">
      <c r="A6" s="3" t="s">
        <v>129</v>
      </c>
      <c r="B6" s="4">
        <v>8</v>
      </c>
      <c r="C6" s="5">
        <v>4</v>
      </c>
      <c r="D6" s="4">
        <v>2788</v>
      </c>
      <c r="E6" s="4">
        <v>107</v>
      </c>
      <c r="J6" s="3" t="s">
        <v>111</v>
      </c>
      <c r="K6" s="4">
        <v>2735</v>
      </c>
      <c r="P6" s="2" t="s">
        <v>349</v>
      </c>
    </row>
    <row r="7" spans="1:18" x14ac:dyDescent="0.3">
      <c r="A7" s="3" t="s">
        <v>111</v>
      </c>
      <c r="B7" s="4">
        <v>8</v>
      </c>
      <c r="C7" s="5">
        <v>4</v>
      </c>
      <c r="D7" s="4">
        <v>2735</v>
      </c>
      <c r="E7" s="4">
        <v>110</v>
      </c>
      <c r="J7" s="3" t="s">
        <v>117</v>
      </c>
      <c r="K7" s="4">
        <v>2869</v>
      </c>
      <c r="P7" s="3" t="s">
        <v>342</v>
      </c>
      <c r="Q7" s="4">
        <v>20944</v>
      </c>
      <c r="R7" s="7">
        <f>GETPIVOTDATA("[Measures].[TotalRuns]",$P$6)/20944</f>
        <v>1</v>
      </c>
    </row>
    <row r="8" spans="1:18" x14ac:dyDescent="0.3">
      <c r="A8" s="3" t="s">
        <v>147</v>
      </c>
      <c r="B8" s="4">
        <v>7</v>
      </c>
      <c r="C8" s="5">
        <v>2</v>
      </c>
      <c r="D8" s="4">
        <v>2458</v>
      </c>
      <c r="E8" s="4">
        <v>89</v>
      </c>
      <c r="J8" s="3" t="s">
        <v>135</v>
      </c>
      <c r="K8" s="4">
        <v>2420</v>
      </c>
      <c r="P8" s="3" t="s">
        <v>343</v>
      </c>
      <c r="Q8" s="4">
        <v>799</v>
      </c>
      <c r="R8" s="7">
        <f>GETPIVOTDATA("[Measures].[TotalWickets]",$P$6)/799</f>
        <v>1</v>
      </c>
    </row>
    <row r="9" spans="1:18" x14ac:dyDescent="0.3">
      <c r="A9" s="3" t="s">
        <v>141</v>
      </c>
      <c r="B9" s="4">
        <v>7</v>
      </c>
      <c r="C9" s="5">
        <v>4</v>
      </c>
      <c r="D9" s="4">
        <v>2318</v>
      </c>
      <c r="E9" s="4">
        <v>105</v>
      </c>
      <c r="J9" s="3" t="s">
        <v>129</v>
      </c>
      <c r="K9" s="4">
        <v>2788</v>
      </c>
      <c r="P9" s="3" t="s">
        <v>340</v>
      </c>
      <c r="Q9" s="4">
        <v>60</v>
      </c>
      <c r="R9" s="7">
        <f>GETPIVOTDATA("[Measures].[TotalMatch]",$P$6)/60</f>
        <v>1</v>
      </c>
    </row>
    <row r="10" spans="1:18" x14ac:dyDescent="0.3">
      <c r="A10" s="3" t="s">
        <v>123</v>
      </c>
      <c r="B10" s="4">
        <v>7</v>
      </c>
      <c r="C10" s="5">
        <v>4</v>
      </c>
      <c r="D10" s="4">
        <v>2600</v>
      </c>
      <c r="E10" s="4">
        <v>88</v>
      </c>
      <c r="J10" s="3" t="s">
        <v>147</v>
      </c>
      <c r="K10" s="4">
        <v>2458</v>
      </c>
      <c r="M10" s="2" t="s">
        <v>338</v>
      </c>
      <c r="N10" t="s">
        <v>347</v>
      </c>
      <c r="P10" s="3" t="s">
        <v>350</v>
      </c>
      <c r="Q10" s="5">
        <v>60</v>
      </c>
      <c r="R10" s="7">
        <f>GETPIVOTDATA("[Measures].[Totalwin]",$P$6)/60</f>
        <v>1</v>
      </c>
    </row>
    <row r="11" spans="1:18" x14ac:dyDescent="0.3">
      <c r="A11" s="3" t="s">
        <v>153</v>
      </c>
      <c r="B11" s="4">
        <v>8</v>
      </c>
      <c r="C11" s="5">
        <v>5</v>
      </c>
      <c r="D11" s="4">
        <v>2756</v>
      </c>
      <c r="E11" s="4">
        <v>112</v>
      </c>
      <c r="J11" s="3" t="s">
        <v>141</v>
      </c>
      <c r="K11" s="4">
        <v>2318</v>
      </c>
      <c r="M11" s="3" t="s">
        <v>117</v>
      </c>
      <c r="N11" s="5"/>
    </row>
    <row r="12" spans="1:18" x14ac:dyDescent="0.3">
      <c r="A12" s="3" t="s">
        <v>348</v>
      </c>
      <c r="B12" s="4"/>
      <c r="C12" s="5">
        <v>0</v>
      </c>
      <c r="D12" s="4"/>
      <c r="E12" s="4"/>
      <c r="J12" s="3" t="s">
        <v>123</v>
      </c>
      <c r="K12" s="4">
        <v>2600</v>
      </c>
      <c r="M12" s="6" t="s">
        <v>345</v>
      </c>
      <c r="N12" s="5">
        <v>6</v>
      </c>
    </row>
    <row r="13" spans="1:18" x14ac:dyDescent="0.3">
      <c r="A13" s="3" t="s">
        <v>339</v>
      </c>
      <c r="B13" s="4">
        <v>60</v>
      </c>
      <c r="C13" s="4">
        <v>0</v>
      </c>
      <c r="D13" s="4">
        <v>20944</v>
      </c>
      <c r="E13" s="4">
        <v>799</v>
      </c>
      <c r="J13" s="3" t="s">
        <v>153</v>
      </c>
      <c r="K13" s="4">
        <v>2756</v>
      </c>
      <c r="M13" s="6" t="s">
        <v>346</v>
      </c>
      <c r="N13" s="5">
        <v>2</v>
      </c>
    </row>
    <row r="14" spans="1:18" x14ac:dyDescent="0.3">
      <c r="J14" s="3" t="s">
        <v>339</v>
      </c>
      <c r="K14" s="4">
        <v>20944</v>
      </c>
      <c r="M14" s="3" t="s">
        <v>135</v>
      </c>
      <c r="N14" s="5"/>
    </row>
    <row r="15" spans="1:18" x14ac:dyDescent="0.3">
      <c r="M15" s="6" t="s">
        <v>345</v>
      </c>
      <c r="N15" s="5">
        <v>3</v>
      </c>
    </row>
    <row r="16" spans="1:18" x14ac:dyDescent="0.3">
      <c r="A16" s="2" t="s">
        <v>338</v>
      </c>
      <c r="B16" t="s">
        <v>341</v>
      </c>
      <c r="M16" s="6" t="s">
        <v>346</v>
      </c>
      <c r="N16" s="5">
        <v>4</v>
      </c>
    </row>
    <row r="17" spans="1:14" x14ac:dyDescent="0.3">
      <c r="A17" s="3" t="s">
        <v>117</v>
      </c>
      <c r="B17" s="5">
        <v>5</v>
      </c>
      <c r="M17" s="3" t="s">
        <v>129</v>
      </c>
      <c r="N17" s="5"/>
    </row>
    <row r="18" spans="1:14" x14ac:dyDescent="0.3">
      <c r="A18" s="3" t="s">
        <v>135</v>
      </c>
      <c r="B18" s="5">
        <v>2</v>
      </c>
      <c r="M18" s="6" t="s">
        <v>345</v>
      </c>
      <c r="N18" s="5">
        <v>4</v>
      </c>
    </row>
    <row r="19" spans="1:14" x14ac:dyDescent="0.3">
      <c r="A19" s="3" t="s">
        <v>129</v>
      </c>
      <c r="B19" s="5">
        <v>4</v>
      </c>
      <c r="M19" s="6" t="s">
        <v>346</v>
      </c>
      <c r="N19" s="5">
        <v>4</v>
      </c>
    </row>
    <row r="20" spans="1:14" x14ac:dyDescent="0.3">
      <c r="A20" s="3" t="s">
        <v>111</v>
      </c>
      <c r="B20" s="5">
        <v>4</v>
      </c>
      <c r="M20" s="3" t="s">
        <v>111</v>
      </c>
      <c r="N20" s="5"/>
    </row>
    <row r="21" spans="1:14" x14ac:dyDescent="0.3">
      <c r="A21" s="3" t="s">
        <v>147</v>
      </c>
      <c r="B21" s="5">
        <v>2</v>
      </c>
      <c r="M21" s="6" t="s">
        <v>345</v>
      </c>
      <c r="N21" s="5">
        <v>5</v>
      </c>
    </row>
    <row r="22" spans="1:14" x14ac:dyDescent="0.3">
      <c r="A22" s="3" t="s">
        <v>141</v>
      </c>
      <c r="B22" s="5">
        <v>4</v>
      </c>
      <c r="M22" s="6" t="s">
        <v>346</v>
      </c>
      <c r="N22" s="5">
        <v>3</v>
      </c>
    </row>
    <row r="23" spans="1:14" x14ac:dyDescent="0.3">
      <c r="A23" s="3" t="s">
        <v>123</v>
      </c>
      <c r="B23" s="5">
        <v>4</v>
      </c>
      <c r="M23" s="3" t="s">
        <v>147</v>
      </c>
      <c r="N23" s="5"/>
    </row>
    <row r="24" spans="1:14" x14ac:dyDescent="0.3">
      <c r="A24" s="3" t="s">
        <v>153</v>
      </c>
      <c r="B24" s="5">
        <v>5</v>
      </c>
      <c r="M24" s="6" t="s">
        <v>345</v>
      </c>
      <c r="N24" s="5">
        <v>3</v>
      </c>
    </row>
    <row r="25" spans="1:14" x14ac:dyDescent="0.3">
      <c r="A25" s="3" t="s">
        <v>348</v>
      </c>
      <c r="B25" s="5">
        <v>0</v>
      </c>
      <c r="M25" s="6" t="s">
        <v>346</v>
      </c>
      <c r="N25" s="5">
        <v>4</v>
      </c>
    </row>
    <row r="26" spans="1:14" x14ac:dyDescent="0.3">
      <c r="A26" s="3" t="s">
        <v>339</v>
      </c>
      <c r="B26" s="4">
        <v>0</v>
      </c>
      <c r="M26" s="3" t="s">
        <v>141</v>
      </c>
      <c r="N26" s="5"/>
    </row>
    <row r="27" spans="1:14" x14ac:dyDescent="0.3">
      <c r="M27" s="6" t="s">
        <v>345</v>
      </c>
      <c r="N27" s="5">
        <v>4</v>
      </c>
    </row>
    <row r="28" spans="1:14" x14ac:dyDescent="0.3">
      <c r="M28" s="6" t="s">
        <v>346</v>
      </c>
      <c r="N28" s="5">
        <v>3</v>
      </c>
    </row>
    <row r="29" spans="1:14" x14ac:dyDescent="0.3">
      <c r="M29" s="3" t="s">
        <v>123</v>
      </c>
      <c r="N29" s="5"/>
    </row>
    <row r="30" spans="1:14" x14ac:dyDescent="0.3">
      <c r="M30" s="6" t="s">
        <v>345</v>
      </c>
      <c r="N30" s="5">
        <v>6</v>
      </c>
    </row>
    <row r="31" spans="1:14" x14ac:dyDescent="0.3">
      <c r="M31" s="6" t="s">
        <v>346</v>
      </c>
      <c r="N31" s="5">
        <v>1</v>
      </c>
    </row>
    <row r="32" spans="1:14" x14ac:dyDescent="0.3">
      <c r="M32" s="3" t="s">
        <v>153</v>
      </c>
      <c r="N32" s="5"/>
    </row>
    <row r="33" spans="13:14" x14ac:dyDescent="0.3">
      <c r="M33" s="6" t="s">
        <v>345</v>
      </c>
      <c r="N33" s="5">
        <v>6</v>
      </c>
    </row>
    <row r="34" spans="13:14" x14ac:dyDescent="0.3">
      <c r="M34" s="6" t="s">
        <v>346</v>
      </c>
      <c r="N34" s="5">
        <v>2</v>
      </c>
    </row>
    <row r="35" spans="13:14" x14ac:dyDescent="0.3">
      <c r="M35" s="3" t="s">
        <v>339</v>
      </c>
      <c r="N35" s="5">
        <v>60</v>
      </c>
    </row>
  </sheetData>
  <pageMargins left="0.7" right="0.7" top="0.75" bottom="0.75" header="0.3" footer="0.3"/>
  <pageSetup orientation="portrait" r:id="rId6"/>
  <drawing r:id="rId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7AB6B-299C-4F1E-9513-5664766FC386}">
  <dimension ref="A1"/>
  <sheetViews>
    <sheetView tabSelected="1" zoomScaleNormal="100" workbookViewId="0">
      <selection activeCell="R7" sqref="R7"/>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3BD46418-6D7B-430E-9271-7E143A91D231}">
  <ds:schemaRefs/>
</ds:datastoreItem>
</file>

<file path=customXml/itemProps2.xml><?xml version="1.0" encoding="utf-8"?>
<ds:datastoreItem xmlns:ds="http://schemas.openxmlformats.org/officeDocument/2006/customXml" ds:itemID="{2EDC5EE7-73E8-4D14-8F4A-6A9DFB05E93B}">
  <ds:schemaRefs/>
</ds:datastoreItem>
</file>

<file path=customXml/itemProps3.xml><?xml version="1.0" encoding="utf-8"?>
<ds:datastoreItem xmlns:ds="http://schemas.openxmlformats.org/officeDocument/2006/customXml" ds:itemID="{20FC14C8-50E5-4B1C-9D67-51A46BB04F0A}">
  <ds:schemaRefs/>
</ds:datastoreItem>
</file>

<file path=customXml/itemProps4.xml><?xml version="1.0" encoding="utf-8"?>
<ds:datastoreItem xmlns:ds="http://schemas.openxmlformats.org/officeDocument/2006/customXml" ds:itemID="{163B8E6E-08A3-4933-97A9-872101A63613}">
  <ds:schemaRefs/>
</ds:datastoreItem>
</file>

<file path=customXml/itemProps5.xml><?xml version="1.0" encoding="utf-8"?>
<ds:datastoreItem xmlns:ds="http://schemas.openxmlformats.org/officeDocument/2006/customXml" ds:itemID="{AA2F3004-D118-47B1-920D-9EAF8D0AE065}">
  <ds:schemaRefs/>
</ds:datastoreItem>
</file>

<file path=customXml/itemProps6.xml><?xml version="1.0" encoding="utf-8"?>
<ds:datastoreItem xmlns:ds="http://schemas.openxmlformats.org/officeDocument/2006/customXml" ds:itemID="{81811CE1-9F9C-4491-938A-81A2331E5A06}">
  <ds:schemaRefs/>
</ds:datastoreItem>
</file>

<file path=customXml/itemProps7.xml><?xml version="1.0" encoding="utf-8"?>
<ds:datastoreItem xmlns:ds="http://schemas.openxmlformats.org/officeDocument/2006/customXml" ds:itemID="{880CF3C6-3E43-4A2E-9FE1-2682A6F5F140}">
  <ds:schemaRefs/>
</ds:datastoreItem>
</file>

<file path=customXml/itemProps8.xml><?xml version="1.0" encoding="utf-8"?>
<ds:datastoreItem xmlns:ds="http://schemas.openxmlformats.org/officeDocument/2006/customXml" ds:itemID="{A3D3CBDC-03AB-46C9-ADCB-8A12F615CDF1}">
  <ds:schemaRefs/>
</ds:datastoreItem>
</file>

<file path=customXml/itemProps9.xml><?xml version="1.0" encoding="utf-8"?>
<ds:datastoreItem xmlns:ds="http://schemas.openxmlformats.org/officeDocument/2006/customXml" ds:itemID="{53ECB971-3590-4C10-8CAB-BA4D529A9586}">
  <ds:schemaRefs>
    <ds:schemaRef ds:uri="http://schemas.microsoft.com/DataMashup"/>
  </ds:schemaRefs>
</ds:datastoreItem>
</file>

<file path=customXml/itemProps10.xml><?xml version="1.0" encoding="utf-8"?>
<ds:datastoreItem xmlns:ds="http://schemas.openxmlformats.org/officeDocument/2006/customXml" ds:itemID="{437C72C1-DB67-44F1-BCE3-9F93CA1D8AB7}">
  <ds:schemaRefs/>
</ds:datastoreItem>
</file>

<file path=customXml/itemProps11.xml><?xml version="1.0" encoding="utf-8"?>
<ds:datastoreItem xmlns:ds="http://schemas.openxmlformats.org/officeDocument/2006/customXml" ds:itemID="{E8238349-A2FE-4DA3-B260-81BDFA16E6EB}">
  <ds:schemaRefs/>
</ds:datastoreItem>
</file>

<file path=customXml/itemProps12.xml><?xml version="1.0" encoding="utf-8"?>
<ds:datastoreItem xmlns:ds="http://schemas.openxmlformats.org/officeDocument/2006/customXml" ds:itemID="{AFA8FA20-60E8-43B5-9310-FA70C8A45190}">
  <ds:schemaRefs/>
</ds:datastoreItem>
</file>

<file path=customXml/itemProps13.xml><?xml version="1.0" encoding="utf-8"?>
<ds:datastoreItem xmlns:ds="http://schemas.openxmlformats.org/officeDocument/2006/customXml" ds:itemID="{EA45E0A6-4E89-408B-AC24-D024CDA6FB08}">
  <ds:schemaRefs/>
</ds:datastoreItem>
</file>

<file path=customXml/itemProps14.xml><?xml version="1.0" encoding="utf-8"?>
<ds:datastoreItem xmlns:ds="http://schemas.openxmlformats.org/officeDocument/2006/customXml" ds:itemID="{83AA5C7C-E33F-409D-AF53-2DA63D5B4B05}">
  <ds:schemaRefs/>
</ds:datastoreItem>
</file>

<file path=customXml/itemProps15.xml><?xml version="1.0" encoding="utf-8"?>
<ds:datastoreItem xmlns:ds="http://schemas.openxmlformats.org/officeDocument/2006/customXml" ds:itemID="{05B8035F-8C94-4BE7-831E-521B24600ABA}">
  <ds:schemaRefs/>
</ds:datastoreItem>
</file>

<file path=customXml/itemProps16.xml><?xml version="1.0" encoding="utf-8"?>
<ds:datastoreItem xmlns:ds="http://schemas.openxmlformats.org/officeDocument/2006/customXml" ds:itemID="{53A7ACBC-1379-41A8-BA44-846FFC9B31B5}">
  <ds:schemaRefs/>
</ds:datastoreItem>
</file>

<file path=customXml/itemProps17.xml><?xml version="1.0" encoding="utf-8"?>
<ds:datastoreItem xmlns:ds="http://schemas.openxmlformats.org/officeDocument/2006/customXml" ds:itemID="{D0593B04-E2BB-4604-9FAF-2E297B4D19DF}">
  <ds:schemaRefs/>
</ds:datastoreItem>
</file>

<file path=customXml/itemProps18.xml><?xml version="1.0" encoding="utf-8"?>
<ds:datastoreItem xmlns:ds="http://schemas.openxmlformats.org/officeDocument/2006/customXml" ds:itemID="{981CB99E-A210-4DEA-9A25-08E547D0236F}">
  <ds:schemaRefs/>
</ds:datastoreItem>
</file>

<file path=customXml/itemProps19.xml><?xml version="1.0" encoding="utf-8"?>
<ds:datastoreItem xmlns:ds="http://schemas.openxmlformats.org/officeDocument/2006/customXml" ds:itemID="{3579A24A-5298-409B-BB67-584446BC87BD}">
  <ds:schemaRefs/>
</ds:datastoreItem>
</file>

<file path=customXml/itemProps20.xml><?xml version="1.0" encoding="utf-8"?>
<ds:datastoreItem xmlns:ds="http://schemas.openxmlformats.org/officeDocument/2006/customXml" ds:itemID="{7CD9E146-53B5-4678-AEBA-89A86087D2EE}">
  <ds:schemaRefs/>
</ds:datastoreItem>
</file>

<file path=customXml/itemProps21.xml><?xml version="1.0" encoding="utf-8"?>
<ds:datastoreItem xmlns:ds="http://schemas.openxmlformats.org/officeDocument/2006/customXml" ds:itemID="{43946BCE-C437-4237-A4D3-4476EE0E78F2}">
  <ds:schemaRefs/>
</ds:datastoreItem>
</file>

<file path=customXml/itemProps22.xml><?xml version="1.0" encoding="utf-8"?>
<ds:datastoreItem xmlns:ds="http://schemas.openxmlformats.org/officeDocument/2006/customXml" ds:itemID="{2547D2C0-B4EF-4EB4-A432-90B310194B99}">
  <ds:schemaRefs/>
</ds:datastoreItem>
</file>

<file path=customXml/itemProps23.xml><?xml version="1.0" encoding="utf-8"?>
<ds:datastoreItem xmlns:ds="http://schemas.openxmlformats.org/officeDocument/2006/customXml" ds:itemID="{8C509863-FE1C-4B27-A29D-C1E7984FFD59}">
  <ds:schemaRefs/>
</ds:datastoreItem>
</file>

<file path=customXml/itemProps24.xml><?xml version="1.0" encoding="utf-8"?>
<ds:datastoreItem xmlns:ds="http://schemas.openxmlformats.org/officeDocument/2006/customXml" ds:itemID="{860293B4-540A-4897-835F-C4C01C209DA3}">
  <ds:schemaRefs/>
</ds:datastoreItem>
</file>

<file path=customXml/itemProps25.xml><?xml version="1.0" encoding="utf-8"?>
<ds:datastoreItem xmlns:ds="http://schemas.openxmlformats.org/officeDocument/2006/customXml" ds:itemID="{27255BE3-0BD9-4D2D-AE38-E9DDA2FF58F2}">
  <ds:schemaRefs/>
</ds:datastoreItem>
</file>

<file path=customXml/itemProps26.xml><?xml version="1.0" encoding="utf-8"?>
<ds:datastoreItem xmlns:ds="http://schemas.openxmlformats.org/officeDocument/2006/customXml" ds:itemID="{6BCDA26B-85FC-4622-A8C1-B27AF428E016}">
  <ds:schemaRefs/>
</ds:datastoreItem>
</file>

<file path=customXml/itemProps27.xml><?xml version="1.0" encoding="utf-8"?>
<ds:datastoreItem xmlns:ds="http://schemas.openxmlformats.org/officeDocument/2006/customXml" ds:itemID="{917B6D2F-951E-4589-86D9-FF2CC8519AC4}">
  <ds:schemaRefs/>
</ds:datastoreItem>
</file>

<file path=customXml/itemProps28.xml><?xml version="1.0" encoding="utf-8"?>
<ds:datastoreItem xmlns:ds="http://schemas.openxmlformats.org/officeDocument/2006/customXml" ds:itemID="{B9451E9A-DFDD-4795-8F77-B5B4DE269428}">
  <ds:schemaRefs/>
</ds:datastoreItem>
</file>

<file path=customXml/itemProps29.xml><?xml version="1.0" encoding="utf-8"?>
<ds:datastoreItem xmlns:ds="http://schemas.openxmlformats.org/officeDocument/2006/customXml" ds:itemID="{17AAAD04-C1FA-415C-BDE3-51211AA6721D}">
  <ds:schemaRefs/>
</ds:datastoreItem>
</file>

<file path=customXml/itemProps30.xml><?xml version="1.0" encoding="utf-8"?>
<ds:datastoreItem xmlns:ds="http://schemas.openxmlformats.org/officeDocument/2006/customXml" ds:itemID="{C0756B5E-D42E-4AF5-ADF5-B488DA42115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fact_player</vt:lpstr>
      <vt:lpstr>fact_match</vt:lpstr>
      <vt:lpstr>dim_venue</vt:lpstr>
      <vt:lpstr>dim_team</vt:lpstr>
      <vt:lpstr>dim_player</vt:lpstr>
      <vt:lpstr>Player Summary</vt:lpstr>
      <vt:lpstr>Sheet1</vt:lpstr>
      <vt:lpstr>Team Summary</vt:lpstr>
      <vt:lpstr>Team Performance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2015-06-05T18:17:20Z</dcterms:created>
  <dcterms:modified xsi:type="dcterms:W3CDTF">2026-08-17T16:43:25Z</dcterms:modified>
</cp:coreProperties>
</file>